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ormationOpenClassRoom\Cours13 - Réalisez le cadrage d’un projet IA\FashionInsta\"/>
    </mc:Choice>
  </mc:AlternateContent>
  <xr:revisionPtr revIDLastSave="0" documentId="13_ncr:1_{5D77CC54-C7D0-499B-9EE0-7F43617ACFB1}" xr6:coauthVersionLast="47" xr6:coauthVersionMax="47" xr10:uidLastSave="{00000000-0000-0000-0000-000000000000}"/>
  <bookViews>
    <workbookView xWindow="-120" yWindow="-120" windowWidth="29040" windowHeight="15720" xr2:uid="{9C354F4C-B153-4252-B584-9EFA1763D34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7" i="1" l="1"/>
  <c r="I27" i="1"/>
  <c r="J27" i="1"/>
  <c r="K27" i="1"/>
  <c r="K26" i="1"/>
  <c r="J26" i="1"/>
  <c r="I26" i="1"/>
  <c r="H26" i="1"/>
  <c r="K25" i="1"/>
  <c r="J25" i="1"/>
  <c r="I25" i="1"/>
  <c r="H25" i="1"/>
  <c r="E25" i="1"/>
  <c r="K51" i="1"/>
  <c r="L22" i="1"/>
  <c r="L21" i="1"/>
  <c r="L20" i="1"/>
  <c r="L19" i="1"/>
  <c r="L18" i="1"/>
  <c r="L17" i="1"/>
  <c r="L16" i="1"/>
  <c r="J17" i="1"/>
  <c r="J18" i="1"/>
  <c r="J19" i="1"/>
  <c r="J20" i="1"/>
  <c r="J21" i="1"/>
  <c r="J22" i="1"/>
  <c r="J16" i="1"/>
  <c r="H17" i="1"/>
  <c r="H18" i="1"/>
  <c r="H19" i="1"/>
  <c r="H20" i="1"/>
  <c r="H21" i="1"/>
  <c r="H22" i="1"/>
  <c r="H16" i="1"/>
  <c r="E27" i="1"/>
  <c r="E26" i="1"/>
  <c r="G59" i="1"/>
  <c r="H59" i="1" s="1"/>
  <c r="K58" i="1"/>
  <c r="G64" i="1"/>
  <c r="H64" i="1" s="1"/>
  <c r="G60" i="1"/>
  <c r="H60" i="1" s="1"/>
  <c r="G61" i="1"/>
  <c r="H61" i="1" s="1"/>
  <c r="G62" i="1"/>
  <c r="H62" i="1" s="1"/>
  <c r="G63" i="1"/>
  <c r="H63" i="1" s="1"/>
  <c r="G45" i="1"/>
  <c r="G44" i="1"/>
  <c r="L7" i="1"/>
  <c r="L8" i="1"/>
  <c r="L9" i="1"/>
  <c r="L6" i="1"/>
  <c r="J7" i="1"/>
  <c r="J8" i="1"/>
  <c r="J9" i="1"/>
  <c r="J6" i="1"/>
  <c r="H7" i="1"/>
  <c r="H8" i="1"/>
  <c r="H9" i="1"/>
  <c r="H6" i="1"/>
  <c r="G30" i="1" l="1"/>
  <c r="G29" i="1"/>
  <c r="M52" i="1"/>
  <c r="K50" i="1"/>
  <c r="I60" i="1"/>
  <c r="J60" i="1" s="1"/>
  <c r="I59" i="1"/>
  <c r="K59" i="1" s="1"/>
  <c r="I63" i="1"/>
  <c r="N52" i="1"/>
  <c r="N58" i="1" s="1"/>
  <c r="O58" i="1" s="1"/>
  <c r="I64" i="1"/>
  <c r="I62" i="1"/>
  <c r="I61" i="1"/>
  <c r="N59" i="1" l="1"/>
  <c r="N60" i="1" s="1"/>
  <c r="K62" i="1"/>
  <c r="J62" i="1"/>
  <c r="K61" i="1"/>
  <c r="J61" i="1"/>
  <c r="K64" i="1"/>
  <c r="J64" i="1"/>
  <c r="K63" i="1"/>
  <c r="J63" i="1"/>
  <c r="J59" i="1"/>
  <c r="L59" i="1" s="1"/>
  <c r="L60" i="1" s="1"/>
  <c r="L61" i="1" s="1"/>
  <c r="L62" i="1" s="1"/>
  <c r="L63" i="1" s="1"/>
  <c r="L64" i="1" s="1"/>
  <c r="M59" i="1"/>
  <c r="K60" i="1"/>
  <c r="O59" i="1" l="1"/>
  <c r="N61" i="1"/>
  <c r="N62" i="1" s="1"/>
  <c r="N63" i="1" s="1"/>
  <c r="N64" i="1" s="1"/>
  <c r="M60" i="1"/>
  <c r="O60" i="1" l="1"/>
  <c r="M61" i="1"/>
  <c r="O61" i="1" s="1"/>
  <c r="M62" i="1" l="1"/>
  <c r="O62" i="1"/>
  <c r="M63" i="1"/>
  <c r="M64" i="1" s="1"/>
  <c r="O63" i="1" l="1"/>
  <c r="O64" i="1"/>
</calcChain>
</file>

<file path=xl/sharedStrings.xml><?xml version="1.0" encoding="utf-8"?>
<sst xmlns="http://schemas.openxmlformats.org/spreadsheetml/2006/main" count="132" uniqueCount="70">
  <si>
    <t>Ressources Humaines</t>
  </si>
  <si>
    <t>Data Engineer</t>
  </si>
  <si>
    <t>ML Ops Engineer</t>
  </si>
  <si>
    <t>Tech Lead Data</t>
  </si>
  <si>
    <t>Data Scientist</t>
  </si>
  <si>
    <t>Taux/Jour</t>
  </si>
  <si>
    <t>Annuel</t>
  </si>
  <si>
    <t>Phase 1</t>
  </si>
  <si>
    <t>Phase 2</t>
  </si>
  <si>
    <t>Phase 3</t>
  </si>
  <si>
    <t>One shot</t>
  </si>
  <si>
    <t>Récurrent / Annuel</t>
  </si>
  <si>
    <t>Ressources Materiels</t>
  </si>
  <si>
    <t>Taux</t>
  </si>
  <si>
    <t>Qt</t>
  </si>
  <si>
    <t>Ct</t>
  </si>
  <si>
    <t>Fixe</t>
  </si>
  <si>
    <t>Cout de développement</t>
  </si>
  <si>
    <t>Cout de maintenance</t>
  </si>
  <si>
    <t>augmentera de 14% le CA Web sur 24 mois</t>
  </si>
  <si>
    <t>augmentation du CA en magasin de 4 % sur 24 mois</t>
  </si>
  <si>
    <t>400k utilisateurs de l’application mobile / an</t>
  </si>
  <si>
    <t>quelques dizaines de milliers qui seraient particulièrement actifs.</t>
  </si>
  <si>
    <t>Stockage images</t>
  </si>
  <si>
    <t>Azure Blob Storage</t>
  </si>
  <si>
    <t>Recherche vectorielle</t>
  </si>
  <si>
    <t>Azure AI Search</t>
  </si>
  <si>
    <t>Modèles ML</t>
  </si>
  <si>
    <t>Azure Machine Learning</t>
  </si>
  <si>
    <t>API recommandation</t>
  </si>
  <si>
    <t>Service Azure</t>
  </si>
  <si>
    <t>CA e-commerce</t>
  </si>
  <si>
    <t>CA moyen par magasin</t>
  </si>
  <si>
    <t>%</t>
  </si>
  <si>
    <t>€ / an</t>
  </si>
  <si>
    <t>CA physique (11 magasins)</t>
  </si>
  <si>
    <t>Chiffre d'affaires global (CA)</t>
  </si>
  <si>
    <t>user</t>
  </si>
  <si>
    <t>€</t>
  </si>
  <si>
    <t>Gain Web</t>
  </si>
  <si>
    <t>Gain magasin</t>
  </si>
  <si>
    <t>CA magasin actuel</t>
  </si>
  <si>
    <t>Mois</t>
  </si>
  <si>
    <t>mois</t>
  </si>
  <si>
    <t>parts</t>
  </si>
  <si>
    <t>Part %</t>
  </si>
  <si>
    <t>Part #</t>
  </si>
  <si>
    <t>Données 2024:</t>
  </si>
  <si>
    <t>mensuel</t>
  </si>
  <si>
    <t>Cout</t>
  </si>
  <si>
    <t>CA Mensuel</t>
  </si>
  <si>
    <t>Hypothèse 24M</t>
  </si>
  <si>
    <t>Référence 24M</t>
  </si>
  <si>
    <t>CA 12M</t>
  </si>
  <si>
    <t>Coûts
Cumulé</t>
  </si>
  <si>
    <t>Gain net
Cumulé</t>
  </si>
  <si>
    <t>départ</t>
  </si>
  <si>
    <t>Réf.
Prog. Taux</t>
  </si>
  <si>
    <t>Hyp.
Prog. Taux</t>
  </si>
  <si>
    <t>Réf.
Prog. CA  Cumulé</t>
  </si>
  <si>
    <t>Hyp.
Prog. CA  Cumulé</t>
  </si>
  <si>
    <t>Photo Utilisateur</t>
  </si>
  <si>
    <t>Segmentation des vêtements</t>
  </si>
  <si>
    <t>Embedding</t>
  </si>
  <si>
    <t>Caractéristiques</t>
  </si>
  <si>
    <t>Similarité</t>
  </si>
  <si>
    <t>Compatibilité</t>
  </si>
  <si>
    <t>Recommandation</t>
  </si>
  <si>
    <t>Azure Container Apps / App Service / AKS (API)</t>
  </si>
  <si>
    <t>Staffing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</si>
</sst>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8" formatCode="#,##0\ &quot;€&quot;\/\j\o\u\r"/>
    <numFmt numFmtId="169" formatCode="#,##0\ &quot;€&quot;"/>
    <numFmt numFmtId="170" formatCode="0.0%"/>
    <numFmt numFmtId="172" formatCode="0\G\o"/>
    <numFmt numFmtId="173" formatCode="0\h"/>
    <numFmt numFmtId="176" formatCode="0.00\€\ \/\ \G\o"/>
    <numFmt numFmtId="178" formatCode="0.00\€\ \/\ \h\ \G\P\U\ "/>
    <numFmt numFmtId="180" formatCode="0.00&quot;€&quot;\ \/\ \v\C\P\U"/>
    <numFmt numFmtId="181" formatCode="0.00&quot;€&quot;\ \/\ \h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5B9BD5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Alignment="1"/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/>
    <xf numFmtId="168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69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9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9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168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70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wrapText="1"/>
    </xf>
    <xf numFmtId="169" fontId="0" fillId="0" borderId="1" xfId="0" applyNumberFormat="1" applyBorder="1" applyAlignment="1">
      <alignment horizontal="right"/>
    </xf>
    <xf numFmtId="0" fontId="1" fillId="0" borderId="0" xfId="0" applyFont="1" applyBorder="1" applyAlignment="1">
      <alignment horizontal="right"/>
    </xf>
    <xf numFmtId="169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center"/>
    </xf>
    <xf numFmtId="9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4" fillId="0" borderId="0" xfId="0" applyFont="1" applyAlignment="1">
      <alignment horizontal="center"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/>
    <xf numFmtId="0" fontId="4" fillId="0" borderId="0" xfId="0" applyFont="1" applyAlignment="1"/>
    <xf numFmtId="0" fontId="0" fillId="0" borderId="0" xfId="0" applyBorder="1"/>
    <xf numFmtId="172" fontId="0" fillId="2" borderId="1" xfId="0" applyNumberFormat="1" applyFill="1" applyBorder="1" applyAlignment="1">
      <alignment horizontal="center"/>
    </xf>
    <xf numFmtId="172" fontId="0" fillId="3" borderId="1" xfId="0" applyNumberFormat="1" applyFill="1" applyBorder="1" applyAlignment="1">
      <alignment horizontal="center"/>
    </xf>
    <xf numFmtId="172" fontId="0" fillId="4" borderId="1" xfId="0" applyNumberFormat="1" applyFill="1" applyBorder="1" applyAlignment="1">
      <alignment horizontal="center"/>
    </xf>
    <xf numFmtId="173" fontId="0" fillId="2" borderId="1" xfId="0" applyNumberFormat="1" applyFill="1" applyBorder="1" applyAlignment="1">
      <alignment horizontal="center"/>
    </xf>
    <xf numFmtId="173" fontId="0" fillId="4" borderId="1" xfId="0" applyNumberFormat="1" applyFill="1" applyBorder="1" applyAlignment="1">
      <alignment horizontal="center"/>
    </xf>
    <xf numFmtId="173" fontId="0" fillId="3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3" fontId="0" fillId="4" borderId="1" xfId="0" applyNumberFormat="1" applyFill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1" fontId="0" fillId="0" borderId="1" xfId="0" applyNumberFormat="1" applyBorder="1" applyAlignment="1">
      <alignment horizontal="center"/>
    </xf>
    <xf numFmtId="169" fontId="0" fillId="2" borderId="1" xfId="0" applyNumberFormat="1" applyFill="1" applyBorder="1" applyAlignment="1">
      <alignment horizontal="right"/>
    </xf>
    <xf numFmtId="0" fontId="3" fillId="5" borderId="0" xfId="0" applyFont="1" applyFill="1" applyAlignment="1">
      <alignment horizontal="center" wrapText="1"/>
    </xf>
    <xf numFmtId="169" fontId="0" fillId="5" borderId="1" xfId="0" applyNumberFormat="1" applyFill="1" applyBorder="1" applyAlignment="1">
      <alignment horizontal="right"/>
    </xf>
    <xf numFmtId="0" fontId="3" fillId="2" borderId="0" xfId="0" applyFont="1" applyFill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169" fontId="0" fillId="6" borderId="1" xfId="0" applyNumberFormat="1" applyFill="1" applyBorder="1" applyAlignment="1">
      <alignment horizontal="right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 Chiffre Affaire Cumulé - 24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Feuil1!$L$57</c:f>
              <c:strCache>
                <c:ptCount val="1"/>
                <c:pt idx="0">
                  <c:v>Réf.
Prog. CA  Cumulé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Feuil1!$I$58:$I$64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</c:numCache>
            </c:numRef>
          </c:xVal>
          <c:yVal>
            <c:numRef>
              <c:f>Feuil1!$L$58:$L$64</c:f>
              <c:numCache>
                <c:formatCode>#\ ##0\ "€"</c:formatCode>
                <c:ptCount val="7"/>
                <c:pt idx="0">
                  <c:v>0</c:v>
                </c:pt>
                <c:pt idx="1">
                  <c:v>3538.1518506868115</c:v>
                </c:pt>
                <c:pt idx="2">
                  <c:v>13545.556516640325</c:v>
                </c:pt>
                <c:pt idx="3">
                  <c:v>31930.332827490562</c:v>
                </c:pt>
                <c:pt idx="4">
                  <c:v>60235.54763298505</c:v>
                </c:pt>
                <c:pt idx="5">
                  <c:v>99793.287897247035</c:v>
                </c:pt>
                <c:pt idx="6">
                  <c:v>151793.28789724704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E4-447F-A50B-E0DC983DAC42}"/>
            </c:ext>
          </c:extLst>
        </c:ser>
        <c:ser>
          <c:idx val="1"/>
          <c:order val="1"/>
          <c:tx>
            <c:strRef>
              <c:f>Feuil1!$M$57</c:f>
              <c:strCache>
                <c:ptCount val="1"/>
                <c:pt idx="0">
                  <c:v>Hyp.
Prog. CA  Cumulé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Feuil1!$I$58:$I$64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</c:numCache>
            </c:numRef>
          </c:xVal>
          <c:yVal>
            <c:numRef>
              <c:f>Feuil1!$M$58:$M$64</c:f>
              <c:numCache>
                <c:formatCode>#\ ##0\ "€"</c:formatCode>
                <c:ptCount val="7"/>
                <c:pt idx="0">
                  <c:v>0</c:v>
                </c:pt>
                <c:pt idx="1">
                  <c:v>16511.375303205125</c:v>
                </c:pt>
                <c:pt idx="2">
                  <c:v>63212.597077654857</c:v>
                </c:pt>
                <c:pt idx="3">
                  <c:v>149008.21986162264</c:v>
                </c:pt>
                <c:pt idx="4">
                  <c:v>281099.2222872636</c:v>
                </c:pt>
                <c:pt idx="5">
                  <c:v>465702.01018715295</c:v>
                </c:pt>
                <c:pt idx="6">
                  <c:v>708368.67685381963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E4-447F-A50B-E0DC983DAC42}"/>
            </c:ext>
          </c:extLst>
        </c:ser>
        <c:ser>
          <c:idx val="2"/>
          <c:order val="2"/>
          <c:tx>
            <c:strRef>
              <c:f>Feuil1!$O$57</c:f>
              <c:strCache>
                <c:ptCount val="1"/>
                <c:pt idx="0">
                  <c:v>Gain net
Cumulé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Feuil1!$I$58:$I$64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</c:numCache>
            </c:numRef>
          </c:xVal>
          <c:yVal>
            <c:numRef>
              <c:f>Feuil1!$O$58:$O$64</c:f>
              <c:numCache>
                <c:formatCode>#\ ##0\ "€"</c:formatCode>
                <c:ptCount val="7"/>
                <c:pt idx="0">
                  <c:v>-35202.17</c:v>
                </c:pt>
                <c:pt idx="1">
                  <c:v>-26381.746547481689</c:v>
                </c:pt>
                <c:pt idx="2">
                  <c:v>6159.2705610145276</c:v>
                </c:pt>
                <c:pt idx="3">
                  <c:v>69417.317034132066</c:v>
                </c:pt>
                <c:pt idx="4">
                  <c:v>169050.30465427856</c:v>
                </c:pt>
                <c:pt idx="5">
                  <c:v>309942.55228990584</c:v>
                </c:pt>
                <c:pt idx="6">
                  <c:v>496456.4189565726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E4-447F-A50B-E0DC983DA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894528"/>
        <c:axId val="833894888"/>
      </c:scatterChart>
      <c:valAx>
        <c:axId val="83389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3894888"/>
        <c:crosses val="autoZero"/>
        <c:crossBetween val="midCat"/>
      </c:valAx>
      <c:valAx>
        <c:axId val="833894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\ &quot;€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3894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47624</xdr:colOff>
      <xdr:row>48</xdr:row>
      <xdr:rowOff>166686</xdr:rowOff>
    </xdr:from>
    <xdr:to>
      <xdr:col>24</xdr:col>
      <xdr:colOff>57149</xdr:colOff>
      <xdr:row>66</xdr:row>
      <xdr:rowOff>85724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4EC8D331-3E1C-12F0-C895-2595AD961B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CC0B-5635-453A-A51A-B518A511B7EE}">
  <dimension ref="A2:O82"/>
  <sheetViews>
    <sheetView tabSelected="1" workbookViewId="0">
      <selection activeCell="K30" sqref="K30"/>
    </sheetView>
  </sheetViews>
  <sheetFormatPr baseColWidth="10" defaultRowHeight="15" x14ac:dyDescent="0.25"/>
  <cols>
    <col min="2" max="2" width="33.28515625" customWidth="1"/>
    <col min="3" max="3" width="4.7109375" customWidth="1"/>
    <col min="4" max="4" width="21.85546875" customWidth="1"/>
    <col min="5" max="5" width="26.140625" style="1" customWidth="1"/>
    <col min="6" max="6" width="3" style="1" customWidth="1"/>
    <col min="7" max="12" width="11.42578125" style="1"/>
  </cols>
  <sheetData>
    <row r="2" spans="2:14" s="7" customFormat="1" x14ac:dyDescent="0.25">
      <c r="E2" s="8"/>
      <c r="F2" s="8"/>
      <c r="G2" s="22" t="s">
        <v>10</v>
      </c>
      <c r="H2" s="23"/>
      <c r="I2" s="30" t="s">
        <v>10</v>
      </c>
      <c r="J2" s="31"/>
      <c r="K2" s="38" t="s">
        <v>11</v>
      </c>
      <c r="L2" s="39"/>
    </row>
    <row r="3" spans="2:14" s="7" customFormat="1" x14ac:dyDescent="0.25">
      <c r="D3" s="7" t="s">
        <v>0</v>
      </c>
      <c r="E3" s="8" t="s">
        <v>5</v>
      </c>
      <c r="F3" s="8"/>
      <c r="G3" s="24" t="s">
        <v>7</v>
      </c>
      <c r="H3" s="25"/>
      <c r="I3" s="32" t="s">
        <v>8</v>
      </c>
      <c r="J3" s="33"/>
      <c r="K3" s="40" t="s">
        <v>9</v>
      </c>
      <c r="L3" s="41"/>
    </row>
    <row r="4" spans="2:14" x14ac:dyDescent="0.25">
      <c r="G4" s="26"/>
      <c r="H4" s="27"/>
      <c r="I4" s="34"/>
      <c r="J4" s="35"/>
      <c r="K4" s="42"/>
      <c r="L4" s="43"/>
    </row>
    <row r="5" spans="2:14" x14ac:dyDescent="0.25">
      <c r="G5" s="28" t="s">
        <v>14</v>
      </c>
      <c r="H5" s="29" t="s">
        <v>15</v>
      </c>
      <c r="I5" s="36" t="s">
        <v>14</v>
      </c>
      <c r="J5" s="37" t="s">
        <v>15</v>
      </c>
      <c r="K5" s="44" t="s">
        <v>14</v>
      </c>
      <c r="L5" s="45" t="s">
        <v>15</v>
      </c>
    </row>
    <row r="6" spans="2:14" x14ac:dyDescent="0.25">
      <c r="D6" s="11" t="s">
        <v>1</v>
      </c>
      <c r="E6" s="12">
        <v>370</v>
      </c>
      <c r="F6" s="20"/>
      <c r="G6" s="13">
        <v>12</v>
      </c>
      <c r="H6" s="14">
        <f>G6*E6</f>
        <v>4440</v>
      </c>
      <c r="I6" s="15">
        <v>16</v>
      </c>
      <c r="J6" s="16">
        <f>I6*E6</f>
        <v>5920</v>
      </c>
      <c r="K6" s="17">
        <v>7</v>
      </c>
      <c r="L6" s="18">
        <f>K6*E6</f>
        <v>2590</v>
      </c>
    </row>
    <row r="7" spans="2:14" x14ac:dyDescent="0.25">
      <c r="D7" s="11" t="s">
        <v>2</v>
      </c>
      <c r="E7" s="12">
        <v>360</v>
      </c>
      <c r="F7" s="20"/>
      <c r="G7" s="13">
        <v>7</v>
      </c>
      <c r="H7" s="14">
        <f t="shared" ref="H7:H9" si="0">G7*E7</f>
        <v>2520</v>
      </c>
      <c r="I7" s="15">
        <v>14</v>
      </c>
      <c r="J7" s="16">
        <f t="shared" ref="J7:J9" si="1">I7*E7</f>
        <v>5040</v>
      </c>
      <c r="K7" s="17">
        <v>10</v>
      </c>
      <c r="L7" s="18">
        <f t="shared" ref="L7:L9" si="2">K7*E7</f>
        <v>3600</v>
      </c>
    </row>
    <row r="8" spans="2:14" x14ac:dyDescent="0.25">
      <c r="D8" s="11" t="s">
        <v>3</v>
      </c>
      <c r="E8" s="12">
        <v>400</v>
      </c>
      <c r="F8" s="20"/>
      <c r="G8" s="13">
        <v>5</v>
      </c>
      <c r="H8" s="14">
        <f t="shared" si="0"/>
        <v>2000</v>
      </c>
      <c r="I8" s="15">
        <v>7</v>
      </c>
      <c r="J8" s="16">
        <f t="shared" si="1"/>
        <v>2800</v>
      </c>
      <c r="K8" s="17">
        <v>1</v>
      </c>
      <c r="L8" s="18">
        <f t="shared" si="2"/>
        <v>400</v>
      </c>
    </row>
    <row r="9" spans="2:14" x14ac:dyDescent="0.25">
      <c r="D9" s="11" t="s">
        <v>4</v>
      </c>
      <c r="E9" s="12">
        <v>350</v>
      </c>
      <c r="F9" s="20"/>
      <c r="G9" s="13">
        <v>24</v>
      </c>
      <c r="H9" s="14">
        <f t="shared" si="0"/>
        <v>8400</v>
      </c>
      <c r="I9" s="15">
        <v>11</v>
      </c>
      <c r="J9" s="16">
        <f t="shared" si="1"/>
        <v>3850</v>
      </c>
      <c r="K9" s="17">
        <v>8</v>
      </c>
      <c r="L9" s="18">
        <f t="shared" si="2"/>
        <v>2800</v>
      </c>
    </row>
    <row r="10" spans="2:14" x14ac:dyDescent="0.25">
      <c r="G10" s="26"/>
      <c r="H10" s="27"/>
      <c r="I10" s="34"/>
      <c r="J10" s="35"/>
      <c r="K10" s="42"/>
      <c r="L10" s="43"/>
    </row>
    <row r="11" spans="2:14" x14ac:dyDescent="0.25">
      <c r="G11" s="26"/>
      <c r="H11" s="27"/>
      <c r="I11" s="34"/>
      <c r="J11" s="35"/>
      <c r="K11" s="42"/>
      <c r="L11" s="43"/>
    </row>
    <row r="12" spans="2:14" s="7" customFormat="1" x14ac:dyDescent="0.25">
      <c r="E12" s="8"/>
      <c r="F12" s="8"/>
      <c r="G12" s="24" t="s">
        <v>10</v>
      </c>
      <c r="H12" s="25"/>
      <c r="I12" s="32" t="s">
        <v>10</v>
      </c>
      <c r="J12" s="33"/>
      <c r="K12" s="40" t="s">
        <v>11</v>
      </c>
      <c r="L12" s="41"/>
    </row>
    <row r="13" spans="2:14" s="7" customFormat="1" x14ac:dyDescent="0.25">
      <c r="B13" s="10" t="s">
        <v>30</v>
      </c>
      <c r="D13" s="7" t="s">
        <v>12</v>
      </c>
      <c r="E13" s="8" t="s">
        <v>13</v>
      </c>
      <c r="F13" s="8"/>
      <c r="G13" s="24" t="s">
        <v>7</v>
      </c>
      <c r="H13" s="25"/>
      <c r="I13" s="32" t="s">
        <v>8</v>
      </c>
      <c r="J13" s="33"/>
      <c r="K13" s="40" t="s">
        <v>9</v>
      </c>
      <c r="L13" s="41"/>
    </row>
    <row r="14" spans="2:14" x14ac:dyDescent="0.25">
      <c r="G14" s="26"/>
      <c r="H14" s="27"/>
      <c r="I14" s="34"/>
      <c r="J14" s="35"/>
      <c r="K14" s="42"/>
      <c r="L14" s="43"/>
    </row>
    <row r="15" spans="2:14" x14ac:dyDescent="0.25">
      <c r="G15" s="28" t="s">
        <v>14</v>
      </c>
      <c r="H15" s="29" t="s">
        <v>15</v>
      </c>
      <c r="I15" s="36" t="s">
        <v>14</v>
      </c>
      <c r="J15" s="37" t="s">
        <v>15</v>
      </c>
      <c r="K15" s="44" t="s">
        <v>14</v>
      </c>
      <c r="L15" s="45" t="s">
        <v>15</v>
      </c>
    </row>
    <row r="16" spans="2:14" x14ac:dyDescent="0.25">
      <c r="B16" s="6" t="s">
        <v>24</v>
      </c>
      <c r="D16" s="11" t="s">
        <v>23</v>
      </c>
      <c r="E16" s="75">
        <v>1.7999999999999999E-2</v>
      </c>
      <c r="F16" s="21"/>
      <c r="G16" s="66">
        <v>50</v>
      </c>
      <c r="H16" s="14">
        <f>G16*E16</f>
        <v>0.89999999999999991</v>
      </c>
      <c r="I16" s="67">
        <v>150</v>
      </c>
      <c r="J16" s="16">
        <f>I16*E16</f>
        <v>2.6999999999999997</v>
      </c>
      <c r="K16" s="68">
        <v>2000</v>
      </c>
      <c r="L16" s="18">
        <f>K16*E16*12</f>
        <v>432</v>
      </c>
      <c r="N16" t="s">
        <v>61</v>
      </c>
    </row>
    <row r="17" spans="1:14" x14ac:dyDescent="0.25">
      <c r="B17" s="6" t="s">
        <v>28</v>
      </c>
      <c r="D17" s="11" t="s">
        <v>27</v>
      </c>
      <c r="E17" s="76">
        <v>0.45</v>
      </c>
      <c r="F17" s="21"/>
      <c r="G17" s="69">
        <v>6</v>
      </c>
      <c r="H17" s="14">
        <f t="shared" ref="H17:H22" si="3">G17*E17</f>
        <v>2.7</v>
      </c>
      <c r="I17" s="71">
        <v>18</v>
      </c>
      <c r="J17" s="16">
        <f t="shared" ref="J17:J22" si="4">I17*E17</f>
        <v>8.1</v>
      </c>
      <c r="K17" s="70">
        <v>20</v>
      </c>
      <c r="L17" s="18">
        <f>K17*E17*12</f>
        <v>108</v>
      </c>
      <c r="N17" t="s">
        <v>62</v>
      </c>
    </row>
    <row r="18" spans="1:14" x14ac:dyDescent="0.25">
      <c r="B18" s="6" t="s">
        <v>28</v>
      </c>
      <c r="D18" s="11" t="s">
        <v>27</v>
      </c>
      <c r="E18" s="76">
        <v>0.45</v>
      </c>
      <c r="F18" s="21"/>
      <c r="G18" s="69">
        <v>3</v>
      </c>
      <c r="H18" s="14">
        <f t="shared" si="3"/>
        <v>1.35</v>
      </c>
      <c r="I18" s="71">
        <v>9</v>
      </c>
      <c r="J18" s="16">
        <f t="shared" si="4"/>
        <v>4.05</v>
      </c>
      <c r="K18" s="70">
        <v>10</v>
      </c>
      <c r="L18" s="18">
        <f>K18*E18*12</f>
        <v>54</v>
      </c>
      <c r="N18" t="s">
        <v>63</v>
      </c>
    </row>
    <row r="19" spans="1:14" x14ac:dyDescent="0.25">
      <c r="B19" s="6" t="s">
        <v>28</v>
      </c>
      <c r="D19" s="11" t="s">
        <v>27</v>
      </c>
      <c r="E19" s="76">
        <v>0.45</v>
      </c>
      <c r="F19" s="21"/>
      <c r="G19" s="69">
        <v>2</v>
      </c>
      <c r="H19" s="14">
        <f t="shared" si="3"/>
        <v>0.9</v>
      </c>
      <c r="I19" s="71">
        <v>5</v>
      </c>
      <c r="J19" s="16">
        <f t="shared" si="4"/>
        <v>2.25</v>
      </c>
      <c r="K19" s="70">
        <v>6</v>
      </c>
      <c r="L19" s="18">
        <f>K19*E19*12</f>
        <v>32.400000000000006</v>
      </c>
      <c r="N19" t="s">
        <v>64</v>
      </c>
    </row>
    <row r="20" spans="1:14" x14ac:dyDescent="0.25">
      <c r="B20" s="6" t="s">
        <v>26</v>
      </c>
      <c r="D20" s="11" t="s">
        <v>25</v>
      </c>
      <c r="E20" s="78">
        <v>0.25</v>
      </c>
      <c r="F20" s="21"/>
      <c r="G20" s="69">
        <v>20</v>
      </c>
      <c r="H20" s="14">
        <f t="shared" si="3"/>
        <v>5</v>
      </c>
      <c r="I20" s="71">
        <v>730</v>
      </c>
      <c r="J20" s="16">
        <f t="shared" si="4"/>
        <v>182.5</v>
      </c>
      <c r="K20" s="70">
        <v>730</v>
      </c>
      <c r="L20" s="18">
        <f>K20*E20*12</f>
        <v>2190</v>
      </c>
      <c r="N20" t="s">
        <v>65</v>
      </c>
    </row>
    <row r="21" spans="1:14" x14ac:dyDescent="0.25">
      <c r="B21" s="6" t="s">
        <v>28</v>
      </c>
      <c r="D21" s="11" t="s">
        <v>27</v>
      </c>
      <c r="E21" s="76">
        <v>0.45</v>
      </c>
      <c r="F21" s="21"/>
      <c r="G21" s="69">
        <v>6</v>
      </c>
      <c r="H21" s="14">
        <f t="shared" si="3"/>
        <v>2.7</v>
      </c>
      <c r="I21" s="71">
        <v>18</v>
      </c>
      <c r="J21" s="16">
        <f t="shared" si="4"/>
        <v>8.1</v>
      </c>
      <c r="K21" s="70">
        <v>20</v>
      </c>
      <c r="L21" s="18">
        <f>K21*E21*12</f>
        <v>108</v>
      </c>
      <c r="N21" t="s">
        <v>66</v>
      </c>
    </row>
    <row r="22" spans="1:14" x14ac:dyDescent="0.25">
      <c r="B22" s="6" t="s">
        <v>68</v>
      </c>
      <c r="D22" s="11" t="s">
        <v>29</v>
      </c>
      <c r="E22" s="77">
        <v>1.2E-5</v>
      </c>
      <c r="F22" s="21"/>
      <c r="G22" s="72">
        <v>10000</v>
      </c>
      <c r="H22" s="14">
        <f t="shared" si="3"/>
        <v>0.12000000000000001</v>
      </c>
      <c r="I22" s="73">
        <v>900000</v>
      </c>
      <c r="J22" s="16">
        <f t="shared" si="4"/>
        <v>10.8</v>
      </c>
      <c r="K22" s="74">
        <v>1000000</v>
      </c>
      <c r="L22" s="18">
        <f>K22*E22*12</f>
        <v>144</v>
      </c>
      <c r="N22" t="s">
        <v>67</v>
      </c>
    </row>
    <row r="23" spans="1:14" x14ac:dyDescent="0.25">
      <c r="A23" s="5"/>
    </row>
    <row r="24" spans="1:14" x14ac:dyDescent="0.25">
      <c r="A24" s="5"/>
      <c r="G24" s="8" t="s">
        <v>69</v>
      </c>
      <c r="H24" s="85" t="s">
        <v>1</v>
      </c>
      <c r="I24" s="85" t="s">
        <v>2</v>
      </c>
      <c r="J24" s="85" t="s">
        <v>3</v>
      </c>
      <c r="K24" s="85" t="s">
        <v>4</v>
      </c>
    </row>
    <row r="25" spans="1:14" x14ac:dyDescent="0.25">
      <c r="D25" t="s">
        <v>7</v>
      </c>
      <c r="E25" t="str">
        <f xml:space="preserve">  ROUNDUP(SUM(G6:G9)/7,0) &amp; " Semaines - Charge " &amp; SUM(G6:G9) &amp; " Jours"</f>
        <v>7 Semaines - Charge 48 Jours</v>
      </c>
      <c r="G25" s="1" t="s">
        <v>7</v>
      </c>
      <c r="H25" s="48">
        <f>(G6/SUM(G6:G9))*100</f>
        <v>25</v>
      </c>
      <c r="I25" s="48">
        <f>(G7/SUM(G6:G9))*100</f>
        <v>14.583333333333334</v>
      </c>
      <c r="J25" s="48">
        <f>(G8/SUM(G6:G9))*100</f>
        <v>10.416666666666668</v>
      </c>
      <c r="K25" s="48">
        <f>(G9/SUM(G6:G9))*100</f>
        <v>50</v>
      </c>
    </row>
    <row r="26" spans="1:14" x14ac:dyDescent="0.25">
      <c r="D26" t="s">
        <v>8</v>
      </c>
      <c r="E26" t="str">
        <f xml:space="preserve">  ROUNDUP(SUM(I6:I9)/7,0) &amp; " Semaines - Charge " &amp; SUM(I6:I9) &amp; " Jours"</f>
        <v>7 Semaines - Charge 48 Jours</v>
      </c>
      <c r="G26" s="1" t="s">
        <v>8</v>
      </c>
      <c r="H26" s="48">
        <f>(I6/SUM(I6:I9))*100</f>
        <v>33.333333333333329</v>
      </c>
      <c r="I26" s="48">
        <f>(I7/SUM(I6:I9))*100</f>
        <v>29.166666666666668</v>
      </c>
      <c r="J26" s="48">
        <f>(I8/SUM(I6:I9))*100</f>
        <v>14.583333333333334</v>
      </c>
      <c r="K26" s="48">
        <f>(I9/SUM(I6:I9))*100</f>
        <v>22.916666666666664</v>
      </c>
    </row>
    <row r="27" spans="1:14" x14ac:dyDescent="0.25">
      <c r="D27" t="s">
        <v>9</v>
      </c>
      <c r="E27" t="str">
        <f xml:space="preserve">  ROUNDUP(SUM(K6:K9)/7,0) &amp; " Semaines - Charge " &amp; SUM(K6:K9) &amp; " Jours"</f>
        <v>4 Semaines - Charge 26 Jours</v>
      </c>
      <c r="G27" s="1" t="s">
        <v>9</v>
      </c>
      <c r="H27" s="48">
        <f>(K6/SUM(K6:K9))*100</f>
        <v>26.923076923076923</v>
      </c>
      <c r="I27" s="48">
        <f>(K7/SUM(K6:K9))*100</f>
        <v>38.461538461538467</v>
      </c>
      <c r="J27" s="48">
        <f>(K8/SUM(K6:K9))*100</f>
        <v>3.8461538461538463</v>
      </c>
      <c r="K27" s="48">
        <f>(K9/SUM(K6:K9))*100</f>
        <v>30.76923076923077</v>
      </c>
    </row>
    <row r="28" spans="1:14" x14ac:dyDescent="0.25">
      <c r="E28"/>
    </row>
    <row r="29" spans="1:14" x14ac:dyDescent="0.25">
      <c r="D29" t="s">
        <v>17</v>
      </c>
      <c r="G29" s="2">
        <f>SUM(H6:H9) + SUM(J6:J9) + SUM(H16:H22) + SUM(J16:J22)</f>
        <v>35202.17</v>
      </c>
      <c r="H29" s="1" t="s">
        <v>16</v>
      </c>
    </row>
    <row r="30" spans="1:14" x14ac:dyDescent="0.25">
      <c r="D30" t="s">
        <v>18</v>
      </c>
      <c r="G30" s="2">
        <f>SUM(L6:L9) + SUM(L16:L22)</f>
        <v>12458.4</v>
      </c>
      <c r="H30" s="1" t="s">
        <v>6</v>
      </c>
    </row>
    <row r="32" spans="1:14" x14ac:dyDescent="0.25">
      <c r="D32" s="7" t="s">
        <v>47</v>
      </c>
      <c r="E32" s="8"/>
      <c r="F32" s="8"/>
      <c r="G32" s="8"/>
      <c r="H32" s="9" t="s">
        <v>6</v>
      </c>
      <c r="I32" s="9"/>
      <c r="J32" s="8"/>
    </row>
    <row r="33" spans="4:11" x14ac:dyDescent="0.25">
      <c r="D33" t="s">
        <v>19</v>
      </c>
      <c r="H33" s="46">
        <v>7</v>
      </c>
      <c r="I33" s="1" t="s">
        <v>33</v>
      </c>
    </row>
    <row r="34" spans="4:11" x14ac:dyDescent="0.25">
      <c r="D34" t="s">
        <v>20</v>
      </c>
      <c r="H34" s="46">
        <v>2</v>
      </c>
      <c r="I34" s="1" t="s">
        <v>33</v>
      </c>
    </row>
    <row r="35" spans="4:11" x14ac:dyDescent="0.25">
      <c r="D35" t="s">
        <v>21</v>
      </c>
      <c r="H35" s="47">
        <v>400000</v>
      </c>
      <c r="I35" s="1" t="s">
        <v>37</v>
      </c>
    </row>
    <row r="36" spans="4:11" x14ac:dyDescent="0.25">
      <c r="D36" t="s">
        <v>22</v>
      </c>
      <c r="H36" s="47">
        <v>40000</v>
      </c>
      <c r="I36" s="1" t="s">
        <v>37</v>
      </c>
    </row>
    <row r="37" spans="4:11" x14ac:dyDescent="0.25">
      <c r="D37" t="s">
        <v>31</v>
      </c>
      <c r="H37" s="47">
        <v>5200000</v>
      </c>
      <c r="I37" s="1" t="s">
        <v>38</v>
      </c>
    </row>
    <row r="38" spans="4:11" x14ac:dyDescent="0.25">
      <c r="D38" t="s">
        <v>32</v>
      </c>
      <c r="H38" s="47">
        <v>472000</v>
      </c>
      <c r="I38" s="1" t="s">
        <v>38</v>
      </c>
    </row>
    <row r="39" spans="4:11" x14ac:dyDescent="0.25">
      <c r="D39" t="s">
        <v>35</v>
      </c>
      <c r="H39" s="47">
        <v>5200000</v>
      </c>
      <c r="I39" s="1" t="s">
        <v>38</v>
      </c>
    </row>
    <row r="40" spans="4:11" x14ac:dyDescent="0.25">
      <c r="D40" t="s">
        <v>36</v>
      </c>
      <c r="H40" s="47">
        <v>10400000</v>
      </c>
      <c r="I40" s="1" t="s">
        <v>38</v>
      </c>
    </row>
    <row r="41" spans="4:11" x14ac:dyDescent="0.25">
      <c r="K41" s="6"/>
    </row>
    <row r="42" spans="4:11" x14ac:dyDescent="0.25">
      <c r="K42" s="6"/>
    </row>
    <row r="43" spans="4:11" x14ac:dyDescent="0.25">
      <c r="K43" s="6"/>
    </row>
    <row r="44" spans="4:11" x14ac:dyDescent="0.25">
      <c r="D44" t="s">
        <v>39</v>
      </c>
      <c r="G44" s="47">
        <f>H37*H34%</f>
        <v>104000</v>
      </c>
      <c r="H44" s="1" t="s">
        <v>34</v>
      </c>
    </row>
    <row r="45" spans="4:11" x14ac:dyDescent="0.25">
      <c r="D45" t="s">
        <v>40</v>
      </c>
      <c r="G45" s="47">
        <f>H39*H34</f>
        <v>10400000</v>
      </c>
      <c r="H45" s="1" t="s">
        <v>34</v>
      </c>
    </row>
    <row r="49" spans="2:15" x14ac:dyDescent="0.25">
      <c r="B49" t="s">
        <v>41</v>
      </c>
    </row>
    <row r="50" spans="2:15" x14ac:dyDescent="0.25">
      <c r="J50" s="54" t="s">
        <v>50</v>
      </c>
      <c r="K50" s="55">
        <f>K51/12</f>
        <v>433333.33333333331</v>
      </c>
      <c r="L50" s="8"/>
      <c r="M50" s="8" t="s">
        <v>49</v>
      </c>
      <c r="N50" s="8" t="s">
        <v>49</v>
      </c>
    </row>
    <row r="51" spans="2:15" x14ac:dyDescent="0.25">
      <c r="J51" s="54" t="s">
        <v>53</v>
      </c>
      <c r="K51" s="55">
        <f>H37</f>
        <v>5200000</v>
      </c>
      <c r="L51" s="8"/>
      <c r="M51" s="8" t="s">
        <v>48</v>
      </c>
      <c r="N51" s="8" t="s">
        <v>56</v>
      </c>
    </row>
    <row r="52" spans="2:15" x14ac:dyDescent="0.25">
      <c r="J52" s="54" t="s">
        <v>51</v>
      </c>
      <c r="K52" s="57">
        <v>0.14000000000000001</v>
      </c>
      <c r="L52" s="4"/>
      <c r="M52" s="2">
        <f>$G$30/12</f>
        <v>1038.2</v>
      </c>
      <c r="N52" s="2">
        <f>G29</f>
        <v>35202.17</v>
      </c>
    </row>
    <row r="53" spans="2:15" x14ac:dyDescent="0.25">
      <c r="J53" s="54" t="s">
        <v>52</v>
      </c>
      <c r="K53" s="57">
        <v>0.03</v>
      </c>
      <c r="L53" s="4"/>
      <c r="M53" s="1">
        <v>0</v>
      </c>
      <c r="N53" s="1">
        <v>0</v>
      </c>
    </row>
    <row r="54" spans="2:15" x14ac:dyDescent="0.25">
      <c r="J54" s="54" t="s">
        <v>44</v>
      </c>
      <c r="K54" s="58">
        <v>6</v>
      </c>
    </row>
    <row r="55" spans="2:15" x14ac:dyDescent="0.25">
      <c r="J55" s="54" t="s">
        <v>43</v>
      </c>
      <c r="K55" s="58">
        <v>24</v>
      </c>
    </row>
    <row r="57" spans="2:15" ht="39" x14ac:dyDescent="0.25">
      <c r="G57" s="49" t="s">
        <v>46</v>
      </c>
      <c r="H57" s="49" t="s">
        <v>45</v>
      </c>
      <c r="I57" s="49" t="s">
        <v>42</v>
      </c>
      <c r="J57" s="52" t="s">
        <v>57</v>
      </c>
      <c r="K57" s="52" t="s">
        <v>58</v>
      </c>
      <c r="L57" s="83" t="s">
        <v>59</v>
      </c>
      <c r="M57" s="82" t="s">
        <v>60</v>
      </c>
      <c r="N57" s="52" t="s">
        <v>54</v>
      </c>
      <c r="O57" s="80" t="s">
        <v>55</v>
      </c>
    </row>
    <row r="58" spans="2:15" x14ac:dyDescent="0.25">
      <c r="G58" s="50">
        <v>0</v>
      </c>
      <c r="H58" s="50">
        <v>0</v>
      </c>
      <c r="I58" s="19">
        <v>0</v>
      </c>
      <c r="J58" s="51">
        <v>0</v>
      </c>
      <c r="K58" s="51">
        <f>$K$52*(I58/24)^1.5</f>
        <v>0</v>
      </c>
      <c r="L58" s="84">
        <v>0</v>
      </c>
      <c r="M58" s="79">
        <v>0</v>
      </c>
      <c r="N58" s="53">
        <f>$N$52</f>
        <v>35202.17</v>
      </c>
      <c r="O58" s="81">
        <f>(M58-L58)-N58</f>
        <v>-35202.17</v>
      </c>
    </row>
    <row r="59" spans="2:15" x14ac:dyDescent="0.25">
      <c r="G59" s="50">
        <f>ROW(H59)-ROW($H$57)-1</f>
        <v>1</v>
      </c>
      <c r="H59" s="50">
        <f>(100/$K$54)*G59</f>
        <v>16.666666666666668</v>
      </c>
      <c r="I59" s="19">
        <f>($K$55/$K$54)*G59</f>
        <v>4</v>
      </c>
      <c r="J59" s="51">
        <f>$K$53*(I59/24)^1.5</f>
        <v>2.0412414523193144E-3</v>
      </c>
      <c r="K59" s="51">
        <f>$K$52*(I59/24)^1.5</f>
        <v>9.5257934441568028E-3</v>
      </c>
      <c r="L59" s="84">
        <f>((I59-I58)*(J59*$K$50))+L58</f>
        <v>3538.1518506868115</v>
      </c>
      <c r="M59" s="79">
        <f>((I59-I58)*(K59*$K$50))+M58</f>
        <v>16511.375303205125</v>
      </c>
      <c r="N59" s="53">
        <f>($M$52*(I59-I58))+N58</f>
        <v>39354.97</v>
      </c>
      <c r="O59" s="81">
        <f>(M59-L59)-N59</f>
        <v>-26381.746547481689</v>
      </c>
    </row>
    <row r="60" spans="2:15" x14ac:dyDescent="0.25">
      <c r="G60" s="50">
        <f>ROW(H60)-ROW($H$57)-1</f>
        <v>2</v>
      </c>
      <c r="H60" s="50">
        <f>(100/$K$54)*G60</f>
        <v>33.333333333333336</v>
      </c>
      <c r="I60" s="19">
        <f>($K$55/$K$54)*G60</f>
        <v>8</v>
      </c>
      <c r="J60" s="51">
        <f t="shared" ref="J60:J64" si="5">$K$53*(I60/24)^1.5</f>
        <v>5.773502691896258E-3</v>
      </c>
      <c r="K60" s="51">
        <f>$K$52*(I60/24)^1.5</f>
        <v>2.6943012562182539E-2</v>
      </c>
      <c r="L60" s="84">
        <f t="shared" ref="L60:L64" si="6">((I60-I59)*(J60*$K$50))+L59</f>
        <v>13545.556516640325</v>
      </c>
      <c r="M60" s="79">
        <f>((I60-I59)*(K60*$K$50))+M59</f>
        <v>63212.597077654857</v>
      </c>
      <c r="N60" s="53">
        <f>($M$52*(I60-I59))+N59</f>
        <v>43507.770000000004</v>
      </c>
      <c r="O60" s="81">
        <f>(M60-L60)-N60</f>
        <v>6159.2705610145276</v>
      </c>
    </row>
    <row r="61" spans="2:15" x14ac:dyDescent="0.25">
      <c r="G61" s="50">
        <f>ROW(H61)-ROW($H$57)-1</f>
        <v>3</v>
      </c>
      <c r="H61" s="50">
        <f>(100/$K$54)*G61</f>
        <v>50</v>
      </c>
      <c r="I61" s="19">
        <f>($K$55/$K$54)*G61</f>
        <v>12</v>
      </c>
      <c r="J61" s="51">
        <f t="shared" si="5"/>
        <v>1.0606601717798213E-2</v>
      </c>
      <c r="K61" s="51">
        <f>$K$52*(I61/24)^1.5</f>
        <v>4.9497474683058332E-2</v>
      </c>
      <c r="L61" s="84">
        <f t="shared" si="6"/>
        <v>31930.332827490562</v>
      </c>
      <c r="M61" s="79">
        <f>((I61-I60)*(K61*$K$50))+M60</f>
        <v>149008.21986162264</v>
      </c>
      <c r="N61" s="53">
        <f>($M$52*(I61-I60))+N60</f>
        <v>47660.570000000007</v>
      </c>
      <c r="O61" s="81">
        <f>(M61-L61)-N61</f>
        <v>69417.317034132066</v>
      </c>
    </row>
    <row r="62" spans="2:15" x14ac:dyDescent="0.25">
      <c r="G62" s="50">
        <f>ROW(H62)-ROW($H$57)-1</f>
        <v>4</v>
      </c>
      <c r="H62" s="50">
        <f>(100/$K$54)*G62</f>
        <v>66.666666666666671</v>
      </c>
      <c r="I62" s="19">
        <f>($K$55/$K$54)*G62</f>
        <v>16</v>
      </c>
      <c r="J62" s="51">
        <f t="shared" si="5"/>
        <v>1.6329931618554516E-2</v>
      </c>
      <c r="K62" s="51">
        <f>$K$52*(I62/24)^1.5</f>
        <v>7.6206347553254422E-2</v>
      </c>
      <c r="L62" s="84">
        <f t="shared" si="6"/>
        <v>60235.54763298505</v>
      </c>
      <c r="M62" s="79">
        <f>((I62-I61)*(K62*$K$50))+M61</f>
        <v>281099.2222872636</v>
      </c>
      <c r="N62" s="53">
        <f>($M$52*(I62-I61))+N61</f>
        <v>51813.37000000001</v>
      </c>
      <c r="O62" s="81">
        <f>(M62-L62)-N62</f>
        <v>169050.30465427856</v>
      </c>
    </row>
    <row r="63" spans="2:15" x14ac:dyDescent="0.25">
      <c r="G63" s="50">
        <f>ROW(H63)-ROW($H$57)-1</f>
        <v>5</v>
      </c>
      <c r="H63" s="50">
        <f>(100/$K$54)*G63</f>
        <v>83.333333333333343</v>
      </c>
      <c r="I63" s="19">
        <f>($K$55/$K$54)*G63</f>
        <v>20</v>
      </c>
      <c r="J63" s="51">
        <f t="shared" si="5"/>
        <v>2.282177322938192E-2</v>
      </c>
      <c r="K63" s="51">
        <f>$K$52*(I63/24)^1.5</f>
        <v>0.10650160840378231</v>
      </c>
      <c r="L63" s="84">
        <f t="shared" si="6"/>
        <v>99793.287897247035</v>
      </c>
      <c r="M63" s="79">
        <f>((I63-I62)*(K63*$K$50))+M62</f>
        <v>465702.01018715295</v>
      </c>
      <c r="N63" s="53">
        <f>($M$52*(I63-I62))+N62</f>
        <v>55966.170000000013</v>
      </c>
      <c r="O63" s="81">
        <f>(M63-L63)-N63</f>
        <v>309942.55228990584</v>
      </c>
    </row>
    <row r="64" spans="2:15" x14ac:dyDescent="0.25">
      <c r="G64" s="50">
        <f>ROW(H64)-ROW($H$57)-1</f>
        <v>6</v>
      </c>
      <c r="H64" s="50">
        <f>(100/$K$54)*G64</f>
        <v>100</v>
      </c>
      <c r="I64" s="19">
        <f>($K$55/$K$54)*G64</f>
        <v>24</v>
      </c>
      <c r="J64" s="51">
        <f t="shared" si="5"/>
        <v>0.03</v>
      </c>
      <c r="K64" s="51">
        <f>$K$52*(I64/24)^1.5</f>
        <v>0.14000000000000001</v>
      </c>
      <c r="L64" s="84">
        <f t="shared" si="6"/>
        <v>151793.28789724704</v>
      </c>
      <c r="M64" s="79">
        <f>((I64-I63)*(K64*$K$50))+M63</f>
        <v>708368.67685381963</v>
      </c>
      <c r="N64" s="53">
        <f>($M$52*(I64-I63))+N63</f>
        <v>60118.970000000016</v>
      </c>
      <c r="O64" s="81">
        <f>(M64-L64)-N64</f>
        <v>496456.4189565726</v>
      </c>
    </row>
    <row r="71" spans="2:8" x14ac:dyDescent="0.25">
      <c r="H71" s="56"/>
    </row>
    <row r="72" spans="2:8" ht="15.75" x14ac:dyDescent="0.25">
      <c r="B72" s="61" t="s">
        <v>61</v>
      </c>
      <c r="C72" s="3"/>
      <c r="D72" s="62" t="s">
        <v>24</v>
      </c>
      <c r="H72" s="65" t="s">
        <v>23</v>
      </c>
    </row>
    <row r="73" spans="2:8" ht="15.75" x14ac:dyDescent="0.25">
      <c r="B73" s="61" t="s">
        <v>62</v>
      </c>
      <c r="C73" s="3"/>
      <c r="D73" s="62" t="s">
        <v>28</v>
      </c>
      <c r="E73" s="60"/>
      <c r="H73" s="65" t="s">
        <v>27</v>
      </c>
    </row>
    <row r="74" spans="2:8" ht="15.75" x14ac:dyDescent="0.25">
      <c r="B74" s="3" t="s">
        <v>63</v>
      </c>
      <c r="C74" s="3"/>
      <c r="D74" s="63" t="s">
        <v>28</v>
      </c>
      <c r="H74" s="65" t="s">
        <v>27</v>
      </c>
    </row>
    <row r="75" spans="2:8" ht="15.75" x14ac:dyDescent="0.25">
      <c r="B75" s="61" t="s">
        <v>64</v>
      </c>
      <c r="C75" s="3"/>
      <c r="D75" s="62" t="s">
        <v>28</v>
      </c>
      <c r="E75" s="60"/>
      <c r="H75" s="65" t="s">
        <v>27</v>
      </c>
    </row>
    <row r="76" spans="2:8" ht="15.75" x14ac:dyDescent="0.25">
      <c r="B76" s="64" t="s">
        <v>65</v>
      </c>
      <c r="C76" s="3"/>
      <c r="D76" s="62" t="s">
        <v>26</v>
      </c>
      <c r="H76" s="65" t="s">
        <v>25</v>
      </c>
    </row>
    <row r="77" spans="2:8" ht="15.75" x14ac:dyDescent="0.25">
      <c r="B77" s="61" t="s">
        <v>66</v>
      </c>
      <c r="C77" s="3"/>
      <c r="D77" s="62" t="s">
        <v>28</v>
      </c>
      <c r="H77" s="65" t="s">
        <v>27</v>
      </c>
    </row>
    <row r="78" spans="2:8" ht="15.75" x14ac:dyDescent="0.25">
      <c r="B78" s="61" t="s">
        <v>67</v>
      </c>
      <c r="C78" s="3"/>
      <c r="D78" s="63" t="s">
        <v>68</v>
      </c>
      <c r="H78" s="65" t="s">
        <v>29</v>
      </c>
    </row>
    <row r="79" spans="2:8" ht="15.75" x14ac:dyDescent="0.25">
      <c r="B79" s="59"/>
      <c r="C79" s="5"/>
      <c r="D79" s="5"/>
      <c r="H79" s="56"/>
    </row>
    <row r="80" spans="2:8" x14ac:dyDescent="0.25">
      <c r="B80" s="5"/>
      <c r="C80" s="5"/>
      <c r="D80" s="5"/>
      <c r="H80" s="56"/>
    </row>
    <row r="81" spans="2:8" x14ac:dyDescent="0.25">
      <c r="B81" s="5"/>
      <c r="C81" s="5"/>
      <c r="D81" s="5"/>
      <c r="H81" s="56"/>
    </row>
    <row r="82" spans="2:8" x14ac:dyDescent="0.25">
      <c r="B82" s="5"/>
      <c r="C82" s="5"/>
      <c r="D82" s="5"/>
      <c r="H82" s="56"/>
    </row>
  </sheetData>
  <mergeCells count="13">
    <mergeCell ref="H32:I32"/>
    <mergeCell ref="G12:H12"/>
    <mergeCell ref="I12:J12"/>
    <mergeCell ref="K12:L12"/>
    <mergeCell ref="G13:H13"/>
    <mergeCell ref="I13:J13"/>
    <mergeCell ref="K13:L13"/>
    <mergeCell ref="G2:H2"/>
    <mergeCell ref="G3:H3"/>
    <mergeCell ref="I2:J2"/>
    <mergeCell ref="I3:J3"/>
    <mergeCell ref="K2:L2"/>
    <mergeCell ref="K3:L3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auguey</dc:creator>
  <cp:lastModifiedBy>thomas auguey</cp:lastModifiedBy>
  <dcterms:created xsi:type="dcterms:W3CDTF">2026-10-08T09:30:48Z</dcterms:created>
  <dcterms:modified xsi:type="dcterms:W3CDTF">2026-10-08T16:45:31Z</dcterms:modified>
</cp:coreProperties>
</file>