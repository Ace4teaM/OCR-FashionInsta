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ormationOpenClassRoom\Cours13 - Réalisez le cadrage d’un projet IA\FashionInsta\"/>
    </mc:Choice>
  </mc:AlternateContent>
  <xr:revisionPtr revIDLastSave="0" documentId="13_ncr:1_{8C673B3B-2EFE-4820-8D69-2DA7891E34FF}" xr6:coauthVersionLast="47" xr6:coauthVersionMax="47" xr10:uidLastSave="{00000000-0000-0000-0000-000000000000}"/>
  <bookViews>
    <workbookView xWindow="-120" yWindow="-120" windowWidth="29040" windowHeight="15720" xr2:uid="{9C354F4C-B153-4252-B584-9EFA1763D349}"/>
  </bookViews>
  <sheets>
    <sheet name="COUTS" sheetId="1" r:id="rId1"/>
    <sheet name="RACI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8" i="1" l="1"/>
  <c r="N76" i="1"/>
  <c r="G68" i="1"/>
  <c r="G67" i="1"/>
  <c r="H67" i="1"/>
  <c r="H65" i="1"/>
  <c r="H66" i="1"/>
  <c r="K72" i="1"/>
  <c r="K71" i="1"/>
  <c r="H51" i="1"/>
  <c r="L49" i="1"/>
  <c r="G27" i="1"/>
  <c r="K27" i="1"/>
  <c r="I27" i="1"/>
  <c r="J27" i="1" s="1"/>
  <c r="N5" i="1"/>
  <c r="N6" i="1"/>
  <c r="N7" i="1"/>
  <c r="N8" i="1"/>
  <c r="N9" i="1"/>
  <c r="N12" i="1"/>
  <c r="N13" i="1"/>
  <c r="N14" i="1"/>
  <c r="N17" i="1"/>
  <c r="N18" i="1"/>
  <c r="N19" i="1"/>
  <c r="N20" i="1"/>
  <c r="N4" i="1"/>
  <c r="K33" i="1"/>
  <c r="L33" i="1" s="1"/>
  <c r="K32" i="1"/>
  <c r="L32" i="1" s="1"/>
  <c r="K31" i="1"/>
  <c r="L31" i="1" s="1"/>
  <c r="K30" i="1"/>
  <c r="L30" i="1" s="1"/>
  <c r="K29" i="1"/>
  <c r="L29" i="1" s="1"/>
  <c r="K28" i="1"/>
  <c r="I51" i="1" s="1"/>
  <c r="L27" i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G33" i="1"/>
  <c r="N49" i="1" s="1"/>
  <c r="G32" i="1"/>
  <c r="H32" i="1" s="1"/>
  <c r="G31" i="1"/>
  <c r="H31" i="1" s="1"/>
  <c r="G30" i="1"/>
  <c r="H30" i="1" s="1"/>
  <c r="G29" i="1"/>
  <c r="H29" i="1" s="1"/>
  <c r="G28" i="1"/>
  <c r="I49" i="1" s="1"/>
  <c r="L46" i="1"/>
  <c r="L45" i="1"/>
  <c r="L44" i="1"/>
  <c r="L43" i="1"/>
  <c r="L42" i="1"/>
  <c r="L41" i="1"/>
  <c r="L40" i="1"/>
  <c r="J41" i="1"/>
  <c r="J42" i="1"/>
  <c r="J43" i="1"/>
  <c r="J44" i="1"/>
  <c r="J45" i="1"/>
  <c r="J46" i="1"/>
  <c r="J40" i="1"/>
  <c r="H41" i="1"/>
  <c r="H42" i="1"/>
  <c r="H43" i="1"/>
  <c r="H44" i="1"/>
  <c r="H45" i="1"/>
  <c r="H46" i="1"/>
  <c r="H40" i="1"/>
  <c r="G80" i="1"/>
  <c r="H80" i="1" s="1"/>
  <c r="K79" i="1"/>
  <c r="G85" i="1"/>
  <c r="H85" i="1" s="1"/>
  <c r="G81" i="1"/>
  <c r="H81" i="1" s="1"/>
  <c r="G82" i="1"/>
  <c r="H82" i="1" s="1"/>
  <c r="G83" i="1"/>
  <c r="H83" i="1" s="1"/>
  <c r="G84" i="1"/>
  <c r="H84" i="1" s="1"/>
  <c r="L50" i="1" l="1"/>
  <c r="J51" i="1"/>
  <c r="N15" i="1"/>
  <c r="L28" i="1"/>
  <c r="G55" i="1" s="1"/>
  <c r="M73" i="1" s="1"/>
  <c r="N50" i="1"/>
  <c r="G51" i="1"/>
  <c r="G49" i="1"/>
  <c r="I50" i="1"/>
  <c r="L51" i="1"/>
  <c r="H49" i="1"/>
  <c r="N51" i="1"/>
  <c r="H50" i="1"/>
  <c r="M49" i="1"/>
  <c r="K49" i="1"/>
  <c r="G50" i="1"/>
  <c r="K50" i="1"/>
  <c r="K51" i="1"/>
  <c r="M51" i="1"/>
  <c r="J49" i="1"/>
  <c r="M50" i="1"/>
  <c r="J50" i="1"/>
  <c r="N10" i="1"/>
  <c r="N21" i="1"/>
  <c r="H33" i="1"/>
  <c r="H28" i="1"/>
  <c r="H27" i="1"/>
  <c r="I81" i="1"/>
  <c r="J81" i="1" s="1"/>
  <c r="I80" i="1"/>
  <c r="I84" i="1"/>
  <c r="I85" i="1"/>
  <c r="I83" i="1"/>
  <c r="I82" i="1"/>
  <c r="K80" i="1" l="1"/>
  <c r="M80" i="1" s="1"/>
  <c r="G54" i="1"/>
  <c r="N73" i="1" s="1"/>
  <c r="K83" i="1"/>
  <c r="J83" i="1"/>
  <c r="K82" i="1"/>
  <c r="J82" i="1"/>
  <c r="K85" i="1"/>
  <c r="J85" i="1"/>
  <c r="K84" i="1"/>
  <c r="J84" i="1"/>
  <c r="J80" i="1"/>
  <c r="K81" i="1"/>
  <c r="N79" i="1" l="1"/>
  <c r="O79" i="1" s="1"/>
  <c r="L80" i="1"/>
  <c r="L81" i="1" s="1"/>
  <c r="L82" i="1" s="1"/>
  <c r="L83" i="1" s="1"/>
  <c r="L84" i="1" s="1"/>
  <c r="L85" i="1" s="1"/>
  <c r="N80" i="1"/>
  <c r="N81" i="1" s="1"/>
  <c r="O80" i="1"/>
  <c r="N82" i="1"/>
  <c r="N83" i="1" s="1"/>
  <c r="N84" i="1" s="1"/>
  <c r="N85" i="1" s="1"/>
  <c r="M81" i="1"/>
  <c r="O81" i="1" l="1"/>
  <c r="M82" i="1"/>
  <c r="O82" i="1" s="1"/>
  <c r="M83" i="1" l="1"/>
  <c r="O83" i="1" s="1"/>
  <c r="M84" i="1" l="1"/>
  <c r="M85" i="1" s="1"/>
  <c r="O85" i="1" s="1"/>
  <c r="O8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aceteam</author>
  </authors>
  <commentList>
    <comment ref="E48" authorId="0" shapeId="0" xr:uid="{F1D274A8-2CF2-4CBD-A346-CA43E44CE47B}">
      <text>
        <r>
          <rPr>
            <b/>
            <sz val="9"/>
            <color indexed="81"/>
            <rFont val="Tahoma"/>
            <family val="2"/>
          </rPr>
          <t>aceteam:</t>
        </r>
        <r>
          <rPr>
            <sz val="9"/>
            <color indexed="81"/>
            <rFont val="Tahoma"/>
            <family val="2"/>
          </rPr>
          <t xml:space="preserve">
Indique la période de réalisation en nombre de semaines calendaire
Si inférieur au nombre de semaines incompressible (voir plus haut) alors il faudra plus d'1 ressource à plein temps pour réaliser la phase</t>
        </r>
      </text>
    </comment>
    <comment ref="G48" authorId="0" shapeId="0" xr:uid="{E85CDA95-103E-4BD4-BEB1-9C18CDEB96A2}">
      <text>
        <r>
          <rPr>
            <b/>
            <sz val="9"/>
            <color indexed="81"/>
            <rFont val="Tahoma"/>
            <family val="2"/>
          </rPr>
          <t>aceteam:</t>
        </r>
        <r>
          <rPr>
            <sz val="9"/>
            <color indexed="81"/>
            <rFont val="Tahoma"/>
            <family val="2"/>
          </rPr>
          <t xml:space="preserve">
Indique la charge réel en nombre de jours et semaines ouvrés</t>
        </r>
      </text>
    </comment>
  </commentList>
</comments>
</file>

<file path=xl/sharedStrings.xml><?xml version="1.0" encoding="utf-8"?>
<sst xmlns="http://schemas.openxmlformats.org/spreadsheetml/2006/main" count="230" uniqueCount="114">
  <si>
    <t>Ressources Humaines</t>
  </si>
  <si>
    <t>Data Engineer</t>
  </si>
  <si>
    <t>ML Ops Engineer</t>
  </si>
  <si>
    <t>Tech Lead Data</t>
  </si>
  <si>
    <t>Data Scientist</t>
  </si>
  <si>
    <t>Taux/Jour</t>
  </si>
  <si>
    <t>Annuel</t>
  </si>
  <si>
    <t>Phase 1</t>
  </si>
  <si>
    <t>Phase 2</t>
  </si>
  <si>
    <t>Phase 3</t>
  </si>
  <si>
    <t>One shot</t>
  </si>
  <si>
    <t>Récurrent / Annuel</t>
  </si>
  <si>
    <t>Ressources Materiels</t>
  </si>
  <si>
    <t>Taux</t>
  </si>
  <si>
    <t>Qt</t>
  </si>
  <si>
    <t>Ct</t>
  </si>
  <si>
    <t>Fixe</t>
  </si>
  <si>
    <t>Cout de développement</t>
  </si>
  <si>
    <t>Cout de maintenance</t>
  </si>
  <si>
    <t>400k utilisateurs de l’application mobile / an</t>
  </si>
  <si>
    <t>quelques dizaines de milliers qui seraient particulièrement actifs.</t>
  </si>
  <si>
    <t>Stockage images</t>
  </si>
  <si>
    <t>Azure Blob Storage</t>
  </si>
  <si>
    <t>Recherche vectorielle</t>
  </si>
  <si>
    <t>Azure AI Search</t>
  </si>
  <si>
    <t>Modèles ML</t>
  </si>
  <si>
    <t>Azure Machine Learning</t>
  </si>
  <si>
    <t>API recommandation</t>
  </si>
  <si>
    <t>Service Azure</t>
  </si>
  <si>
    <t>CA e-commerce</t>
  </si>
  <si>
    <t>CA moyen par magasin</t>
  </si>
  <si>
    <t>CA physique (11 magasins)</t>
  </si>
  <si>
    <t>Chiffre d'affaires global (CA)</t>
  </si>
  <si>
    <t>user</t>
  </si>
  <si>
    <t>€</t>
  </si>
  <si>
    <t>Mois</t>
  </si>
  <si>
    <t>mois</t>
  </si>
  <si>
    <t>parts</t>
  </si>
  <si>
    <t>Part %</t>
  </si>
  <si>
    <t>Part #</t>
  </si>
  <si>
    <t>Données 2024:</t>
  </si>
  <si>
    <t>mensuel</t>
  </si>
  <si>
    <t>Cout</t>
  </si>
  <si>
    <t>CA Mensuel</t>
  </si>
  <si>
    <t>Hypothèse 24M</t>
  </si>
  <si>
    <t>Référence 24M</t>
  </si>
  <si>
    <t>CA 12M</t>
  </si>
  <si>
    <t>Coûts
Cumulé</t>
  </si>
  <si>
    <t>Gain net
Cumulé</t>
  </si>
  <si>
    <t>départ</t>
  </si>
  <si>
    <t>Réf.
Prog. Taux</t>
  </si>
  <si>
    <t>Hyp.
Prog. Taux</t>
  </si>
  <si>
    <t>Réf.
Prog. CA  Cumulé</t>
  </si>
  <si>
    <t>Hyp.
Prog. CA  Cumulé</t>
  </si>
  <si>
    <t>Photo Utilisateur</t>
  </si>
  <si>
    <t>Segmentation des vêtements</t>
  </si>
  <si>
    <t>Embedding</t>
  </si>
  <si>
    <t>Caractéristiques</t>
  </si>
  <si>
    <t>Similarité</t>
  </si>
  <si>
    <t>Compatibilité</t>
  </si>
  <si>
    <t>Recommandation</t>
  </si>
  <si>
    <t>Azure Container Apps / App Service / AKS (API)</t>
  </si>
  <si>
    <t>Staffing</t>
  </si>
  <si>
    <t>Application Mobile et fonctionnalités</t>
  </si>
  <si>
    <t>Exploitation</t>
  </si>
  <si>
    <t>Monitoring</t>
  </si>
  <si>
    <t>Réentraînement</t>
  </si>
  <si>
    <t>Amélioration</t>
  </si>
  <si>
    <t>Algorithme Similarité/Compatibilité</t>
  </si>
  <si>
    <t>R</t>
  </si>
  <si>
    <t>A</t>
  </si>
  <si>
    <t>C</t>
  </si>
  <si>
    <t>I</t>
  </si>
  <si>
    <t>Responsable deréaliser la tache</t>
  </si>
  <si>
    <t>Approuver la tache</t>
  </si>
  <si>
    <t>Consultant conseil (souvant plusieurs sur une meme tache)</t>
  </si>
  <si>
    <t>Informé après execution pour la suite des travaux</t>
  </si>
  <si>
    <t>Tech Lead Software</t>
  </si>
  <si>
    <t>Embedding catalogue Fashion Insta</t>
  </si>
  <si>
    <t>Modèles IA et Datasets</t>
  </si>
  <si>
    <t>Moteur de recommandation</t>
  </si>
  <si>
    <t>Front End Developer</t>
  </si>
  <si>
    <t>BackEnd Developer</t>
  </si>
  <si>
    <t>Back-end developer</t>
  </si>
  <si>
    <t>Front-end developer</t>
  </si>
  <si>
    <t>Front-end dev</t>
  </si>
  <si>
    <t>Back-end dev</t>
  </si>
  <si>
    <t>Tech Lead Soft</t>
  </si>
  <si>
    <t>Taux d'occupation journalié</t>
  </si>
  <si>
    <t>sur la période donnée</t>
  </si>
  <si>
    <t>Charge (JO)</t>
  </si>
  <si>
    <t>Semaines (SC imposé)</t>
  </si>
  <si>
    <t>pour 1 personne</t>
  </si>
  <si>
    <t>Cadrage + sélection dataset</t>
  </si>
  <si>
    <t>Préparation du jeu de test</t>
  </si>
  <si>
    <t>Baseline + approche similaire</t>
  </si>
  <si>
    <t>Approche compatibilité</t>
  </si>
  <si>
    <t>Evaluation + comparaison</t>
  </si>
  <si>
    <t>Synthèse + recommandation</t>
  </si>
  <si>
    <t>Application et fonctionnalités</t>
  </si>
  <si>
    <t>Embedding du catalogue Fashion Insta</t>
  </si>
  <si>
    <t>Phase</t>
  </si>
  <si>
    <t>JO</t>
  </si>
  <si>
    <t>Tache</t>
  </si>
  <si>
    <t>&lt;&lt; Nombre de semaines incompréssible pour réaliser la phase 1</t>
  </si>
  <si>
    <t>&lt;&lt; Nombre de semaines incompréssible pour réaliser la phase 3</t>
  </si>
  <si>
    <t>&lt;&lt; Nombre de semaines incompréssible pour réaliser la phase 2</t>
  </si>
  <si>
    <t>&lt;&lt; Nombre de jours ouvrés incompressible pour réaliser la tâche</t>
  </si>
  <si>
    <t>Gain Web estimé</t>
  </si>
  <si>
    <t>Gain magasin espéré</t>
  </si>
  <si>
    <t>Gain Web espéré</t>
  </si>
  <si>
    <t>(24 mois)</t>
  </si>
  <si>
    <t>Cout 24M</t>
  </si>
  <si>
    <t>Cout Web estimé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</si>
</sst>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\ &quot;€&quot;\/\j\o\u\r"/>
    <numFmt numFmtId="165" formatCode="#,##0\ &quot;€&quot;"/>
    <numFmt numFmtId="166" formatCode="0.0%"/>
    <numFmt numFmtId="167" formatCode="0\G\o"/>
    <numFmt numFmtId="168" formatCode="0\h"/>
    <numFmt numFmtId="169" formatCode="0.00\€\ \/\ \G\o"/>
    <numFmt numFmtId="170" formatCode="0.00\€\ \/\ \h\ \G\P\U\ "/>
    <numFmt numFmtId="171" formatCode="0.00&quot;€&quot;\ \/\ \v\C\P\U"/>
    <numFmt numFmtId="172" formatCode="0.00&quot;€&quot;\ \/\ \h"/>
    <numFmt numFmtId="176" formatCode="0\%"/>
    <numFmt numFmtId="178" formatCode="0\j"/>
    <numFmt numFmtId="179" formatCode="0.0\s"/>
    <numFmt numFmtId="181" formatCode="0.00\%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5B9BD5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.7"/>
      <name val="Nunito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1"/>
      <color theme="4"/>
      <name val="Nunito"/>
    </font>
    <font>
      <b/>
      <sz val="11"/>
      <color theme="8" tint="-0.499984740745262"/>
      <name val="Nunito"/>
    </font>
    <font>
      <sz val="2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center" vertical="center" readingOrder="1"/>
    </xf>
    <xf numFmtId="167" fontId="0" fillId="2" borderId="1" xfId="0" applyNumberFormat="1" applyFill="1" applyBorder="1" applyAlignment="1">
      <alignment horizontal="center"/>
    </xf>
    <xf numFmtId="167" fontId="0" fillId="3" borderId="1" xfId="0" applyNumberFormat="1" applyFill="1" applyBorder="1" applyAlignment="1">
      <alignment horizontal="center"/>
    </xf>
    <xf numFmtId="167" fontId="0" fillId="4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  <xf numFmtId="168" fontId="0" fillId="4" borderId="1" xfId="0" applyNumberFormat="1" applyFill="1" applyBorder="1" applyAlignment="1">
      <alignment horizontal="center"/>
    </xf>
    <xf numFmtId="168" fontId="0" fillId="3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171" fontId="0" fillId="0" borderId="1" xfId="0" applyNumberFormat="1" applyBorder="1" applyAlignment="1">
      <alignment horizontal="center"/>
    </xf>
    <xf numFmtId="172" fontId="0" fillId="0" borderId="1" xfId="0" applyNumberFormat="1" applyBorder="1" applyAlignment="1">
      <alignment horizontal="center"/>
    </xf>
    <xf numFmtId="165" fontId="0" fillId="2" borderId="1" xfId="0" applyNumberFormat="1" applyFill="1" applyBorder="1" applyAlignment="1">
      <alignment horizontal="right"/>
    </xf>
    <xf numFmtId="165" fontId="0" fillId="6" borderId="1" xfId="0" applyNumberFormat="1" applyFill="1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 readingOrder="1"/>
    </xf>
    <xf numFmtId="0" fontId="0" fillId="0" borderId="15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center" vertical="center"/>
    </xf>
    <xf numFmtId="0" fontId="9" fillId="9" borderId="7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11" fillId="0" borderId="0" xfId="0" applyFont="1" applyAlignment="1">
      <alignment textRotation="90"/>
    </xf>
    <xf numFmtId="0" fontId="12" fillId="0" borderId="0" xfId="0" applyFont="1" applyAlignment="1">
      <alignment textRotation="90"/>
    </xf>
    <xf numFmtId="0" fontId="0" fillId="0" borderId="0" xfId="0" applyBorder="1"/>
    <xf numFmtId="0" fontId="0" fillId="0" borderId="16" xfId="0" applyBorder="1"/>
    <xf numFmtId="0" fontId="0" fillId="0" borderId="17" xfId="0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9" xfId="0" applyBorder="1"/>
    <xf numFmtId="0" fontId="0" fillId="0" borderId="0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2" xfId="0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165" fontId="0" fillId="0" borderId="22" xfId="0" applyNumberFormat="1" applyBorder="1" applyAlignment="1">
      <alignment horizontal="center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20" xfId="0" applyBorder="1" applyAlignment="1">
      <alignment horizontal="center"/>
    </xf>
    <xf numFmtId="3" fontId="0" fillId="0" borderId="0" xfId="0" applyNumberFormat="1" applyBorder="1" applyAlignment="1">
      <alignment horizontal="right"/>
    </xf>
    <xf numFmtId="3" fontId="0" fillId="0" borderId="22" xfId="0" applyNumberFormat="1" applyBorder="1" applyAlignment="1">
      <alignment horizontal="right"/>
    </xf>
    <xf numFmtId="0" fontId="0" fillId="0" borderId="16" xfId="0" applyBorder="1" applyAlignment="1">
      <alignment horizontal="center"/>
    </xf>
    <xf numFmtId="0" fontId="1" fillId="0" borderId="17" xfId="0" applyFont="1" applyBorder="1" applyAlignment="1">
      <alignment horizontal="right"/>
    </xf>
    <xf numFmtId="165" fontId="0" fillId="0" borderId="17" xfId="0" applyNumberFormat="1" applyBorder="1" applyAlignment="1">
      <alignment horizontal="right"/>
    </xf>
    <xf numFmtId="0" fontId="0" fillId="0" borderId="18" xfId="0" applyBorder="1"/>
    <xf numFmtId="0" fontId="0" fillId="0" borderId="19" xfId="0" applyBorder="1" applyAlignment="1">
      <alignment horizontal="center"/>
    </xf>
    <xf numFmtId="0" fontId="1" fillId="0" borderId="0" xfId="0" applyFont="1" applyBorder="1" applyAlignment="1">
      <alignment horizontal="right"/>
    </xf>
    <xf numFmtId="165" fontId="0" fillId="0" borderId="0" xfId="0" applyNumberFormat="1" applyBorder="1" applyAlignment="1">
      <alignment horizontal="right"/>
    </xf>
    <xf numFmtId="0" fontId="1" fillId="0" borderId="0" xfId="0" applyFont="1" applyBorder="1" applyAlignment="1">
      <alignment horizontal="center"/>
    </xf>
    <xf numFmtId="9" fontId="0" fillId="0" borderId="0" xfId="0" applyNumberFormat="1" applyBorder="1" applyAlignment="1">
      <alignment horizontal="right"/>
    </xf>
    <xf numFmtId="3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22" xfId="0" applyFont="1" applyBorder="1" applyAlignment="1">
      <alignment horizontal="right"/>
    </xf>
    <xf numFmtId="0" fontId="0" fillId="0" borderId="22" xfId="0" applyBorder="1" applyAlignment="1">
      <alignment horizontal="right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7" xfId="0" applyFont="1" applyBorder="1" applyAlignment="1">
      <alignment horizontal="center" wrapText="1"/>
    </xf>
    <xf numFmtId="0" fontId="3" fillId="6" borderId="17" xfId="0" applyFont="1" applyFill="1" applyBorder="1" applyAlignment="1">
      <alignment horizontal="center" wrapText="1"/>
    </xf>
    <xf numFmtId="0" fontId="3" fillId="2" borderId="17" xfId="0" applyFont="1" applyFill="1" applyBorder="1" applyAlignment="1">
      <alignment horizontal="center" wrapText="1"/>
    </xf>
    <xf numFmtId="0" fontId="3" fillId="5" borderId="18" xfId="0" applyFont="1" applyFill="1" applyBorder="1" applyAlignment="1">
      <alignment horizontal="center" wrapText="1"/>
    </xf>
    <xf numFmtId="1" fontId="0" fillId="0" borderId="8" xfId="0" applyNumberFormat="1" applyBorder="1" applyAlignment="1">
      <alignment horizontal="center"/>
    </xf>
    <xf numFmtId="165" fontId="0" fillId="5" borderId="9" xfId="0" applyNumberFormat="1" applyFill="1" applyBorder="1" applyAlignment="1">
      <alignment horizontal="right"/>
    </xf>
    <xf numFmtId="1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5" fontId="0" fillId="6" borderId="11" xfId="0" applyNumberFormat="1" applyFill="1" applyBorder="1" applyAlignment="1">
      <alignment horizontal="right"/>
    </xf>
    <xf numFmtId="165" fontId="0" fillId="2" borderId="11" xfId="0" applyNumberFormat="1" applyFill="1" applyBorder="1" applyAlignment="1">
      <alignment horizontal="right"/>
    </xf>
    <xf numFmtId="165" fontId="0" fillId="0" borderId="11" xfId="0" applyNumberFormat="1" applyBorder="1" applyAlignment="1">
      <alignment horizontal="right"/>
    </xf>
    <xf numFmtId="165" fontId="0" fillId="5" borderId="12" xfId="0" applyNumberFormat="1" applyFill="1" applyBorder="1" applyAlignment="1">
      <alignment horizontal="right"/>
    </xf>
    <xf numFmtId="0" fontId="4" fillId="0" borderId="16" xfId="0" applyFont="1" applyBorder="1" applyAlignment="1">
      <alignment vertical="center" readingOrder="1"/>
    </xf>
    <xf numFmtId="0" fontId="0" fillId="0" borderId="17" xfId="0" applyBorder="1"/>
    <xf numFmtId="0" fontId="5" fillId="0" borderId="17" xfId="0" applyFont="1" applyBorder="1" applyAlignment="1">
      <alignment vertical="center" readingOrder="1"/>
    </xf>
    <xf numFmtId="0" fontId="4" fillId="0" borderId="19" xfId="0" applyFont="1" applyBorder="1" applyAlignment="1">
      <alignment vertical="center" readingOrder="1"/>
    </xf>
    <xf numFmtId="0" fontId="5" fillId="0" borderId="0" xfId="0" applyFont="1" applyBorder="1" applyAlignment="1">
      <alignment vertical="center" readingOrder="1"/>
    </xf>
    <xf numFmtId="0" fontId="5" fillId="0" borderId="0" xfId="0" applyFont="1" applyBorder="1" applyAlignment="1">
      <alignment horizontal="center" vertical="center" readingOrder="1"/>
    </xf>
    <xf numFmtId="0" fontId="5" fillId="0" borderId="0" xfId="0" applyFont="1" applyBorder="1"/>
    <xf numFmtId="0" fontId="4" fillId="0" borderId="19" xfId="0" applyFont="1" applyBorder="1"/>
    <xf numFmtId="0" fontId="4" fillId="0" borderId="21" xfId="0" applyFont="1" applyBorder="1" applyAlignment="1">
      <alignment vertical="center" readingOrder="1"/>
    </xf>
    <xf numFmtId="0" fontId="5" fillId="0" borderId="22" xfId="0" applyFont="1" applyBorder="1"/>
    <xf numFmtId="3" fontId="0" fillId="0" borderId="17" xfId="0" applyNumberFormat="1" applyBorder="1" applyAlignment="1">
      <alignment horizontal="right"/>
    </xf>
    <xf numFmtId="0" fontId="13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176" fontId="0" fillId="0" borderId="0" xfId="0" applyNumberFormat="1" applyBorder="1" applyAlignment="1">
      <alignment horizontal="center"/>
    </xf>
    <xf numFmtId="176" fontId="0" fillId="0" borderId="22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176" fontId="0" fillId="0" borderId="20" xfId="0" applyNumberFormat="1" applyBorder="1" applyAlignment="1">
      <alignment horizontal="center"/>
    </xf>
    <xf numFmtId="176" fontId="0" fillId="0" borderId="15" xfId="0" applyNumberFormat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6" fillId="11" borderId="17" xfId="0" applyFont="1" applyFill="1" applyBorder="1" applyAlignment="1">
      <alignment horizontal="center"/>
    </xf>
    <xf numFmtId="0" fontId="6" fillId="11" borderId="18" xfId="0" applyFont="1" applyFill="1" applyBorder="1" applyAlignment="1">
      <alignment horizontal="center"/>
    </xf>
    <xf numFmtId="0" fontId="1" fillId="11" borderId="16" xfId="0" applyFont="1" applyFill="1" applyBorder="1" applyAlignment="1">
      <alignment horizontal="center"/>
    </xf>
    <xf numFmtId="0" fontId="1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0" xfId="0" applyNumberFormat="1" applyFont="1" applyAlignment="1">
      <alignment horizontal="center" vertical="center"/>
    </xf>
    <xf numFmtId="0" fontId="16" fillId="12" borderId="0" xfId="0" applyFont="1" applyFill="1" applyBorder="1" applyAlignment="1">
      <alignment horizontal="center" vertical="center"/>
    </xf>
    <xf numFmtId="178" fontId="7" fillId="13" borderId="0" xfId="0" applyNumberFormat="1" applyFont="1" applyFill="1" applyAlignment="1">
      <alignment horizontal="center" vertical="center"/>
    </xf>
    <xf numFmtId="179" fontId="7" fillId="12" borderId="0" xfId="0" applyNumberFormat="1" applyFont="1" applyFill="1" applyAlignment="1">
      <alignment horizontal="center" vertical="center"/>
    </xf>
    <xf numFmtId="9" fontId="0" fillId="0" borderId="17" xfId="0" applyNumberFormat="1" applyBorder="1" applyAlignment="1">
      <alignment horizontal="center"/>
    </xf>
    <xf numFmtId="9" fontId="0" fillId="0" borderId="22" xfId="0" applyNumberFormat="1" applyBorder="1" applyAlignment="1">
      <alignment horizontal="center"/>
    </xf>
    <xf numFmtId="0" fontId="0" fillId="0" borderId="24" xfId="0" applyBorder="1"/>
    <xf numFmtId="176" fontId="0" fillId="0" borderId="23" xfId="0" applyNumberFormat="1" applyBorder="1" applyAlignment="1">
      <alignment horizontal="center"/>
    </xf>
    <xf numFmtId="3" fontId="0" fillId="0" borderId="23" xfId="0" applyNumberFormat="1" applyBorder="1" applyAlignment="1">
      <alignment horizontal="right"/>
    </xf>
    <xf numFmtId="165" fontId="0" fillId="0" borderId="22" xfId="0" applyNumberFormat="1" applyBorder="1" applyAlignment="1">
      <alignment horizontal="right"/>
    </xf>
    <xf numFmtId="181" fontId="0" fillId="0" borderId="2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Progression Chiffre Affaire Cumulé - 24 Mois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COUTS!$L$78</c:f>
              <c:strCache>
                <c:ptCount val="1"/>
                <c:pt idx="0">
                  <c:v>Réf.
Prog. CA  Cumulé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COUTS!$I$79:$I$85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</c:numCache>
            </c:numRef>
          </c:xVal>
          <c:yVal>
            <c:numRef>
              <c:f>COUTS!$L$79:$L$85</c:f>
              <c:numCache>
                <c:formatCode>#\ ##0\ "€"</c:formatCode>
                <c:ptCount val="7"/>
                <c:pt idx="0">
                  <c:v>0</c:v>
                </c:pt>
                <c:pt idx="1">
                  <c:v>3538.1518506868115</c:v>
                </c:pt>
                <c:pt idx="2">
                  <c:v>13545.556516640325</c:v>
                </c:pt>
                <c:pt idx="3">
                  <c:v>31930.332827490562</c:v>
                </c:pt>
                <c:pt idx="4">
                  <c:v>60235.54763298505</c:v>
                </c:pt>
                <c:pt idx="5">
                  <c:v>99793.287897247035</c:v>
                </c:pt>
                <c:pt idx="6">
                  <c:v>151793.28789724704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E4-447F-A50B-E0DC983DAC42}"/>
            </c:ext>
          </c:extLst>
        </c:ser>
        <c:ser>
          <c:idx val="1"/>
          <c:order val="1"/>
          <c:tx>
            <c:strRef>
              <c:f>COUTS!$M$78</c:f>
              <c:strCache>
                <c:ptCount val="1"/>
                <c:pt idx="0">
                  <c:v>Hyp.
Prog. CA  Cumulé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COUTS!$I$79:$I$85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</c:numCache>
            </c:numRef>
          </c:xVal>
          <c:yVal>
            <c:numRef>
              <c:f>COUTS!$M$79:$M$85</c:f>
              <c:numCache>
                <c:formatCode>#\ ##0\ "€"</c:formatCode>
                <c:ptCount val="7"/>
                <c:pt idx="0">
                  <c:v>0</c:v>
                </c:pt>
                <c:pt idx="1">
                  <c:v>16511.375303205125</c:v>
                </c:pt>
                <c:pt idx="2">
                  <c:v>63212.597077654857</c:v>
                </c:pt>
                <c:pt idx="3">
                  <c:v>149008.21986162264</c:v>
                </c:pt>
                <c:pt idx="4">
                  <c:v>281099.2222872636</c:v>
                </c:pt>
                <c:pt idx="5">
                  <c:v>465702.01018715295</c:v>
                </c:pt>
                <c:pt idx="6">
                  <c:v>708368.67685381963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E4-447F-A50B-E0DC983DAC42}"/>
            </c:ext>
          </c:extLst>
        </c:ser>
        <c:ser>
          <c:idx val="2"/>
          <c:order val="2"/>
          <c:tx>
            <c:strRef>
              <c:f>COUTS!$O$78</c:f>
              <c:strCache>
                <c:ptCount val="1"/>
                <c:pt idx="0">
                  <c:v>Gain net
Cumulé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COUTS!$I$79:$I$85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</c:numCache>
            </c:numRef>
          </c:xVal>
          <c:yVal>
            <c:numRef>
              <c:f>COUTS!$O$79:$O$85</c:f>
              <c:numCache>
                <c:formatCode>#\ ##0\ "€"</c:formatCode>
                <c:ptCount val="7"/>
                <c:pt idx="0">
                  <c:v>-19092.169999999998</c:v>
                </c:pt>
                <c:pt idx="1">
                  <c:v>-9468.4132141483533</c:v>
                </c:pt>
                <c:pt idx="2">
                  <c:v>23875.937227681199</c:v>
                </c:pt>
                <c:pt idx="3">
                  <c:v>87937.31703413208</c:v>
                </c:pt>
                <c:pt idx="4">
                  <c:v>188373.63798761187</c:v>
                </c:pt>
                <c:pt idx="5">
                  <c:v>330069.21895657253</c:v>
                </c:pt>
                <c:pt idx="6">
                  <c:v>517386.41895657266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E4-447F-A50B-E0DC983DA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3894528"/>
        <c:axId val="833894888"/>
      </c:scatterChart>
      <c:valAx>
        <c:axId val="83389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3894888"/>
        <c:crosses val="autoZero"/>
        <c:crossBetween val="midCat"/>
      </c:valAx>
      <c:valAx>
        <c:axId val="833894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3894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69</xdr:row>
      <xdr:rowOff>80961</xdr:rowOff>
    </xdr:from>
    <xdr:to>
      <xdr:col>4</xdr:col>
      <xdr:colOff>1571626</xdr:colOff>
      <xdr:row>84</xdr:row>
      <xdr:rowOff>171450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4EC8D331-3E1C-12F0-C895-2595AD961B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CC0B-5635-453A-A51A-B518A511B7EE}">
  <dimension ref="A2:P99"/>
  <sheetViews>
    <sheetView tabSelected="1" topLeftCell="A55" workbookViewId="0">
      <selection activeCell="M66" sqref="M66"/>
    </sheetView>
  </sheetViews>
  <sheetFormatPr baseColWidth="10" defaultRowHeight="15" x14ac:dyDescent="0.25"/>
  <cols>
    <col min="2" max="2" width="33.28515625" customWidth="1"/>
    <col min="3" max="3" width="4.28515625" customWidth="1"/>
    <col min="4" max="4" width="21.85546875" customWidth="1"/>
    <col min="5" max="5" width="26.140625" style="1" customWidth="1"/>
    <col min="6" max="6" width="1.85546875" style="1" customWidth="1"/>
    <col min="7" max="12" width="11.42578125" style="1"/>
    <col min="18" max="18" width="36.140625" customWidth="1"/>
  </cols>
  <sheetData>
    <row r="2" spans="2:16" ht="15.75" thickBot="1" x14ac:dyDescent="0.3"/>
    <row r="3" spans="2:16" x14ac:dyDescent="0.25">
      <c r="B3" s="147" t="s">
        <v>101</v>
      </c>
      <c r="D3" s="4" t="s">
        <v>103</v>
      </c>
      <c r="G3" s="144" t="s">
        <v>4</v>
      </c>
      <c r="H3" s="144" t="s">
        <v>1</v>
      </c>
      <c r="I3" s="144" t="s">
        <v>3</v>
      </c>
      <c r="J3" s="144" t="s">
        <v>2</v>
      </c>
      <c r="K3" s="144" t="s">
        <v>85</v>
      </c>
      <c r="L3" s="144" t="s">
        <v>86</v>
      </c>
      <c r="M3" s="145" t="s">
        <v>87</v>
      </c>
      <c r="N3" s="150" t="s">
        <v>102</v>
      </c>
    </row>
    <row r="4" spans="2:16" x14ac:dyDescent="0.25">
      <c r="B4" s="148">
        <v>1</v>
      </c>
      <c r="D4" t="s">
        <v>93</v>
      </c>
      <c r="G4" s="149"/>
      <c r="H4" s="149">
        <v>3</v>
      </c>
      <c r="I4" s="149">
        <v>1</v>
      </c>
      <c r="J4" s="149">
        <v>1</v>
      </c>
      <c r="K4" s="149"/>
      <c r="L4" s="149"/>
      <c r="M4" s="149"/>
      <c r="N4" s="151">
        <f>MAX(G4:M4)</f>
        <v>3</v>
      </c>
      <c r="P4" t="s">
        <v>107</v>
      </c>
    </row>
    <row r="5" spans="2:16" x14ac:dyDescent="0.25">
      <c r="B5" s="148">
        <v>1</v>
      </c>
      <c r="D5" t="s">
        <v>94</v>
      </c>
      <c r="G5" s="149"/>
      <c r="H5" s="149">
        <v>1</v>
      </c>
      <c r="I5" s="149"/>
      <c r="J5" s="149"/>
      <c r="K5" s="149"/>
      <c r="L5" s="149"/>
      <c r="M5" s="149"/>
      <c r="N5" s="151">
        <f t="shared" ref="N5:N20" si="0">MAX(G5:M5)</f>
        <v>1</v>
      </c>
    </row>
    <row r="6" spans="2:16" x14ac:dyDescent="0.25">
      <c r="B6" s="148">
        <v>1</v>
      </c>
      <c r="D6" t="s">
        <v>95</v>
      </c>
      <c r="G6" s="149">
        <v>3</v>
      </c>
      <c r="H6" s="149"/>
      <c r="I6" s="149"/>
      <c r="J6" s="149"/>
      <c r="K6" s="149"/>
      <c r="L6" s="149"/>
      <c r="M6" s="149"/>
      <c r="N6" s="151">
        <f t="shared" si="0"/>
        <v>3</v>
      </c>
    </row>
    <row r="7" spans="2:16" x14ac:dyDescent="0.25">
      <c r="B7" s="148">
        <v>1</v>
      </c>
      <c r="D7" t="s">
        <v>96</v>
      </c>
      <c r="G7" s="149">
        <v>5</v>
      </c>
      <c r="H7" s="149"/>
      <c r="I7" s="149"/>
      <c r="J7" s="149"/>
      <c r="K7" s="149"/>
      <c r="L7" s="149"/>
      <c r="M7" s="149"/>
      <c r="N7" s="151">
        <f t="shared" si="0"/>
        <v>5</v>
      </c>
    </row>
    <row r="8" spans="2:16" x14ac:dyDescent="0.25">
      <c r="B8" s="148">
        <v>1</v>
      </c>
      <c r="D8" t="s">
        <v>97</v>
      </c>
      <c r="G8" s="149"/>
      <c r="H8" s="149"/>
      <c r="I8" s="149"/>
      <c r="J8" s="149"/>
      <c r="K8" s="149"/>
      <c r="L8" s="149"/>
      <c r="M8" s="149"/>
      <c r="N8" s="151">
        <f t="shared" si="0"/>
        <v>0</v>
      </c>
    </row>
    <row r="9" spans="2:16" x14ac:dyDescent="0.25">
      <c r="B9" s="148">
        <v>1</v>
      </c>
      <c r="D9" t="s">
        <v>98</v>
      </c>
      <c r="G9" s="149"/>
      <c r="H9" s="149"/>
      <c r="I9" s="149"/>
      <c r="J9" s="149"/>
      <c r="K9" s="149"/>
      <c r="L9" s="149"/>
      <c r="M9" s="149"/>
      <c r="N9" s="151">
        <f t="shared" si="0"/>
        <v>0</v>
      </c>
    </row>
    <row r="10" spans="2:16" x14ac:dyDescent="0.25">
      <c r="B10" s="148"/>
      <c r="G10" s="149"/>
      <c r="H10" s="149"/>
      <c r="I10" s="149"/>
      <c r="J10" s="149"/>
      <c r="K10" s="149"/>
      <c r="L10" s="149"/>
      <c r="M10" s="149"/>
      <c r="N10" s="152">
        <f>SUM(N4:N9)/5</f>
        <v>2.4</v>
      </c>
      <c r="P10" t="s">
        <v>104</v>
      </c>
    </row>
    <row r="11" spans="2:16" x14ac:dyDescent="0.25">
      <c r="B11" s="148"/>
      <c r="G11" s="149"/>
      <c r="H11" s="149"/>
      <c r="I11" s="149"/>
      <c r="J11" s="149"/>
      <c r="K11" s="149"/>
      <c r="L11" s="149"/>
      <c r="M11" s="149"/>
      <c r="N11" s="149"/>
    </row>
    <row r="12" spans="2:16" x14ac:dyDescent="0.25">
      <c r="B12" s="148">
        <v>2</v>
      </c>
      <c r="D12" t="s">
        <v>99</v>
      </c>
      <c r="G12" s="149"/>
      <c r="H12" s="149"/>
      <c r="I12" s="149">
        <v>1</v>
      </c>
      <c r="J12" s="149">
        <v>2</v>
      </c>
      <c r="K12" s="149">
        <v>15</v>
      </c>
      <c r="L12" s="149">
        <v>3</v>
      </c>
      <c r="M12" s="149">
        <v>1</v>
      </c>
      <c r="N12" s="151">
        <f t="shared" si="0"/>
        <v>15</v>
      </c>
    </row>
    <row r="13" spans="2:16" x14ac:dyDescent="0.25">
      <c r="B13" s="148">
        <v>2</v>
      </c>
      <c r="D13" t="s">
        <v>100</v>
      </c>
      <c r="G13" s="149"/>
      <c r="H13" s="149">
        <v>3</v>
      </c>
      <c r="I13" s="149">
        <v>1</v>
      </c>
      <c r="J13" s="149">
        <v>2</v>
      </c>
      <c r="K13" s="149"/>
      <c r="L13" s="149"/>
      <c r="M13" s="149"/>
      <c r="N13" s="151">
        <f t="shared" si="0"/>
        <v>3</v>
      </c>
    </row>
    <row r="14" spans="2:16" x14ac:dyDescent="0.25">
      <c r="B14" s="148">
        <v>2</v>
      </c>
      <c r="D14" t="s">
        <v>80</v>
      </c>
      <c r="G14" s="149">
        <v>2</v>
      </c>
      <c r="H14" s="149">
        <v>2</v>
      </c>
      <c r="I14" s="149">
        <v>1</v>
      </c>
      <c r="J14" s="149">
        <v>1</v>
      </c>
      <c r="K14" s="149"/>
      <c r="L14" s="149">
        <v>3</v>
      </c>
      <c r="M14" s="149">
        <v>1</v>
      </c>
      <c r="N14" s="151">
        <f t="shared" si="0"/>
        <v>3</v>
      </c>
    </row>
    <row r="15" spans="2:16" x14ac:dyDescent="0.25">
      <c r="B15" s="148"/>
      <c r="G15" s="149"/>
      <c r="H15" s="149"/>
      <c r="I15" s="149"/>
      <c r="J15" s="149"/>
      <c r="K15" s="149"/>
      <c r="L15" s="149"/>
      <c r="M15" s="149"/>
      <c r="N15" s="152">
        <f>SUM(N12:N14)/5</f>
        <v>4.2</v>
      </c>
      <c r="P15" t="s">
        <v>106</v>
      </c>
    </row>
    <row r="16" spans="2:16" x14ac:dyDescent="0.25">
      <c r="B16" s="148"/>
      <c r="G16" s="149"/>
      <c r="H16" s="149"/>
      <c r="I16" s="149"/>
      <c r="J16" s="149"/>
      <c r="K16" s="149"/>
      <c r="L16" s="149"/>
      <c r="N16" s="149"/>
    </row>
    <row r="17" spans="2:16" x14ac:dyDescent="0.25">
      <c r="B17" s="148">
        <v>3</v>
      </c>
      <c r="D17" t="s">
        <v>64</v>
      </c>
      <c r="G17" s="149"/>
      <c r="H17" s="149"/>
      <c r="I17" s="149">
        <v>1</v>
      </c>
      <c r="J17" s="149">
        <v>3</v>
      </c>
      <c r="K17" s="149"/>
      <c r="L17" s="149"/>
      <c r="M17" s="149"/>
      <c r="N17" s="151">
        <f t="shared" si="0"/>
        <v>3</v>
      </c>
    </row>
    <row r="18" spans="2:16" x14ac:dyDescent="0.25">
      <c r="B18" s="148">
        <v>3</v>
      </c>
      <c r="D18" t="s">
        <v>65</v>
      </c>
      <c r="G18" s="149"/>
      <c r="H18" s="149"/>
      <c r="I18" s="149">
        <v>1</v>
      </c>
      <c r="J18" s="149">
        <v>3</v>
      </c>
      <c r="K18" s="149"/>
      <c r="L18" s="149"/>
      <c r="M18" s="149"/>
      <c r="N18" s="151">
        <f t="shared" si="0"/>
        <v>3</v>
      </c>
    </row>
    <row r="19" spans="2:16" x14ac:dyDescent="0.25">
      <c r="B19" s="148">
        <v>3</v>
      </c>
      <c r="D19" t="s">
        <v>66</v>
      </c>
      <c r="G19" s="149">
        <v>1</v>
      </c>
      <c r="H19" s="149">
        <v>1</v>
      </c>
      <c r="I19" s="149">
        <v>1</v>
      </c>
      <c r="J19" s="149">
        <v>3</v>
      </c>
      <c r="K19" s="149"/>
      <c r="L19" s="149"/>
      <c r="M19" s="149"/>
      <c r="N19" s="151">
        <f t="shared" si="0"/>
        <v>3</v>
      </c>
    </row>
    <row r="20" spans="2:16" x14ac:dyDescent="0.25">
      <c r="B20" s="148">
        <v>3</v>
      </c>
      <c r="D20" t="s">
        <v>67</v>
      </c>
      <c r="G20" s="149">
        <v>3</v>
      </c>
      <c r="H20" s="149">
        <v>1</v>
      </c>
      <c r="I20" s="149">
        <v>1</v>
      </c>
      <c r="J20" s="149"/>
      <c r="K20" s="149"/>
      <c r="L20" s="149"/>
      <c r="M20" s="149"/>
      <c r="N20" s="151">
        <f t="shared" si="0"/>
        <v>3</v>
      </c>
    </row>
    <row r="21" spans="2:16" x14ac:dyDescent="0.25">
      <c r="N21" s="152">
        <f>SUM(N17:N20)/5</f>
        <v>2.4</v>
      </c>
      <c r="P21" t="s">
        <v>105</v>
      </c>
    </row>
    <row r="23" spans="2:16" s="4" customFormat="1" x14ac:dyDescent="0.25">
      <c r="E23" s="5"/>
      <c r="F23" s="5"/>
      <c r="G23" s="55" t="s">
        <v>10</v>
      </c>
      <c r="H23" s="56"/>
      <c r="I23" s="57" t="s">
        <v>10</v>
      </c>
      <c r="J23" s="58"/>
      <c r="K23" s="59" t="s">
        <v>11</v>
      </c>
      <c r="L23" s="60"/>
    </row>
    <row r="24" spans="2:16" s="4" customFormat="1" x14ac:dyDescent="0.25">
      <c r="D24" s="4" t="s">
        <v>0</v>
      </c>
      <c r="E24" s="5" t="s">
        <v>5</v>
      </c>
      <c r="F24" s="5"/>
      <c r="G24" s="49" t="s">
        <v>7</v>
      </c>
      <c r="H24" s="50"/>
      <c r="I24" s="51" t="s">
        <v>8</v>
      </c>
      <c r="J24" s="52"/>
      <c r="K24" s="53" t="s">
        <v>9</v>
      </c>
      <c r="L24" s="54"/>
    </row>
    <row r="25" spans="2:16" x14ac:dyDescent="0.25">
      <c r="G25" s="18"/>
      <c r="H25" s="19"/>
      <c r="I25" s="22"/>
      <c r="J25" s="23"/>
      <c r="K25" s="26"/>
      <c r="L25" s="27"/>
    </row>
    <row r="26" spans="2:16" x14ac:dyDescent="0.25">
      <c r="G26" s="20" t="s">
        <v>14</v>
      </c>
      <c r="H26" s="21" t="s">
        <v>15</v>
      </c>
      <c r="I26" s="24" t="s">
        <v>14</v>
      </c>
      <c r="J26" s="25" t="s">
        <v>15</v>
      </c>
      <c r="K26" s="28" t="s">
        <v>14</v>
      </c>
      <c r="L26" s="29" t="s">
        <v>15</v>
      </c>
    </row>
    <row r="27" spans="2:16" x14ac:dyDescent="0.25">
      <c r="D27" s="7" t="s">
        <v>1</v>
      </c>
      <c r="E27" s="8">
        <v>370</v>
      </c>
      <c r="F27" s="16"/>
      <c r="G27" s="9">
        <f>SUM($H4:$H9)</f>
        <v>4</v>
      </c>
      <c r="H27" s="10">
        <f>G27*E27</f>
        <v>1480</v>
      </c>
      <c r="I27" s="11">
        <f>SUM($H12:$H14)</f>
        <v>5</v>
      </c>
      <c r="J27" s="12">
        <f>I27*E27</f>
        <v>1850</v>
      </c>
      <c r="K27" s="13">
        <f>SUM($H17:$H20)</f>
        <v>2</v>
      </c>
      <c r="L27" s="14">
        <f>K27*E27</f>
        <v>740</v>
      </c>
    </row>
    <row r="28" spans="2:16" x14ac:dyDescent="0.25">
      <c r="D28" s="7" t="s">
        <v>2</v>
      </c>
      <c r="E28" s="8">
        <v>360</v>
      </c>
      <c r="F28" s="16"/>
      <c r="G28" s="9">
        <f>SUM($J4:$J9)</f>
        <v>1</v>
      </c>
      <c r="H28" s="10">
        <f t="shared" ref="H28:H33" si="1">G28*E28</f>
        <v>360</v>
      </c>
      <c r="I28" s="11">
        <f>SUM($J12:$J14)</f>
        <v>5</v>
      </c>
      <c r="J28" s="12">
        <f t="shared" ref="J28:J33" si="2">I28*E28</f>
        <v>1800</v>
      </c>
      <c r="K28" s="13">
        <f>SUM($J17:$J20)</f>
        <v>9</v>
      </c>
      <c r="L28" s="14">
        <f t="shared" ref="L28:L33" si="3">K28*E28</f>
        <v>3240</v>
      </c>
    </row>
    <row r="29" spans="2:16" x14ac:dyDescent="0.25">
      <c r="D29" s="7" t="s">
        <v>3</v>
      </c>
      <c r="E29" s="8">
        <v>400</v>
      </c>
      <c r="F29" s="16"/>
      <c r="G29" s="9">
        <f>SUM($I4:$I9)</f>
        <v>1</v>
      </c>
      <c r="H29" s="10">
        <f t="shared" si="1"/>
        <v>400</v>
      </c>
      <c r="I29" s="11">
        <f>SUM($I12:$I14)</f>
        <v>3</v>
      </c>
      <c r="J29" s="12">
        <f t="shared" si="2"/>
        <v>1200</v>
      </c>
      <c r="K29" s="13">
        <f>SUM($I17:$I20)</f>
        <v>4</v>
      </c>
      <c r="L29" s="14">
        <f t="shared" si="3"/>
        <v>1600</v>
      </c>
    </row>
    <row r="30" spans="2:16" x14ac:dyDescent="0.25">
      <c r="D30" s="7" t="s">
        <v>4</v>
      </c>
      <c r="E30" s="8">
        <v>350</v>
      </c>
      <c r="F30" s="16"/>
      <c r="G30" s="9">
        <f>SUM($G4:$G9)</f>
        <v>8</v>
      </c>
      <c r="H30" s="10">
        <f t="shared" si="1"/>
        <v>2800</v>
      </c>
      <c r="I30" s="11">
        <f>SUM($G12:$G14)</f>
        <v>2</v>
      </c>
      <c r="J30" s="12">
        <f t="shared" si="2"/>
        <v>700</v>
      </c>
      <c r="K30" s="13">
        <f>SUM($G17:$G20)</f>
        <v>4</v>
      </c>
      <c r="L30" s="14">
        <f t="shared" si="3"/>
        <v>1400</v>
      </c>
    </row>
    <row r="31" spans="2:16" x14ac:dyDescent="0.25">
      <c r="D31" s="7" t="s">
        <v>84</v>
      </c>
      <c r="E31" s="8">
        <v>350</v>
      </c>
      <c r="F31" s="16"/>
      <c r="G31" s="9">
        <f>SUM($K4:$K9)</f>
        <v>0</v>
      </c>
      <c r="H31" s="10">
        <f t="shared" si="1"/>
        <v>0</v>
      </c>
      <c r="I31" s="11">
        <f>SUM($K12:$K14)</f>
        <v>15</v>
      </c>
      <c r="J31" s="12">
        <f t="shared" si="2"/>
        <v>5250</v>
      </c>
      <c r="K31" s="13">
        <f>SUM($K17:$K20)</f>
        <v>0</v>
      </c>
      <c r="L31" s="14">
        <f t="shared" si="3"/>
        <v>0</v>
      </c>
    </row>
    <row r="32" spans="2:16" x14ac:dyDescent="0.25">
      <c r="D32" s="7" t="s">
        <v>83</v>
      </c>
      <c r="E32" s="8">
        <v>370</v>
      </c>
      <c r="F32" s="16"/>
      <c r="G32" s="9">
        <f>SUM($L4:$L9)</f>
        <v>0</v>
      </c>
      <c r="H32" s="10">
        <f t="shared" si="1"/>
        <v>0</v>
      </c>
      <c r="I32" s="11">
        <f>SUM($L12:$L14)</f>
        <v>6</v>
      </c>
      <c r="J32" s="12">
        <f t="shared" si="2"/>
        <v>2220</v>
      </c>
      <c r="K32" s="13">
        <f>SUM($L17:$L20)</f>
        <v>0</v>
      </c>
      <c r="L32" s="14">
        <f t="shared" si="3"/>
        <v>0</v>
      </c>
    </row>
    <row r="33" spans="1:14" x14ac:dyDescent="0.25">
      <c r="D33" s="7" t="s">
        <v>77</v>
      </c>
      <c r="E33" s="8">
        <v>400</v>
      </c>
      <c r="F33" s="16"/>
      <c r="G33" s="9">
        <f>SUM($M4:$M9)</f>
        <v>0</v>
      </c>
      <c r="H33" s="10">
        <f t="shared" si="1"/>
        <v>0</v>
      </c>
      <c r="I33" s="11">
        <f>SUM($M12:$M14)</f>
        <v>2</v>
      </c>
      <c r="J33" s="12">
        <f t="shared" si="2"/>
        <v>800</v>
      </c>
      <c r="K33" s="13">
        <f>SUM($M17:$M20)</f>
        <v>0</v>
      </c>
      <c r="L33" s="14">
        <f t="shared" si="3"/>
        <v>0</v>
      </c>
    </row>
    <row r="34" spans="1:14" x14ac:dyDescent="0.25">
      <c r="G34" s="18"/>
      <c r="H34" s="19"/>
      <c r="I34" s="22"/>
      <c r="J34" s="23"/>
      <c r="K34" s="26"/>
      <c r="L34" s="27"/>
    </row>
    <row r="35" spans="1:14" x14ac:dyDescent="0.25">
      <c r="G35" s="18"/>
      <c r="H35" s="19"/>
      <c r="I35" s="22"/>
      <c r="J35" s="23"/>
      <c r="K35" s="26"/>
      <c r="L35" s="27"/>
    </row>
    <row r="36" spans="1:14" s="4" customFormat="1" x14ac:dyDescent="0.25">
      <c r="E36" s="5"/>
      <c r="F36" s="5"/>
      <c r="G36" s="49" t="s">
        <v>10</v>
      </c>
      <c r="H36" s="50"/>
      <c r="I36" s="51" t="s">
        <v>10</v>
      </c>
      <c r="J36" s="52"/>
      <c r="K36" s="53" t="s">
        <v>11</v>
      </c>
      <c r="L36" s="54"/>
    </row>
    <row r="37" spans="1:14" s="4" customFormat="1" x14ac:dyDescent="0.25">
      <c r="B37" s="6" t="s">
        <v>28</v>
      </c>
      <c r="D37" s="4" t="s">
        <v>12</v>
      </c>
      <c r="E37" s="5" t="s">
        <v>13</v>
      </c>
      <c r="F37" s="5"/>
      <c r="G37" s="49" t="s">
        <v>7</v>
      </c>
      <c r="H37" s="50"/>
      <c r="I37" s="51" t="s">
        <v>8</v>
      </c>
      <c r="J37" s="52"/>
      <c r="K37" s="53" t="s">
        <v>9</v>
      </c>
      <c r="L37" s="54"/>
    </row>
    <row r="38" spans="1:14" x14ac:dyDescent="0.25">
      <c r="G38" s="18"/>
      <c r="H38" s="19"/>
      <c r="I38" s="22"/>
      <c r="J38" s="23"/>
      <c r="K38" s="26"/>
      <c r="L38" s="27"/>
    </row>
    <row r="39" spans="1:14" x14ac:dyDescent="0.25">
      <c r="G39" s="20" t="s">
        <v>14</v>
      </c>
      <c r="H39" s="21" t="s">
        <v>15</v>
      </c>
      <c r="I39" s="24" t="s">
        <v>14</v>
      </c>
      <c r="J39" s="25" t="s">
        <v>15</v>
      </c>
      <c r="K39" s="28" t="s">
        <v>14</v>
      </c>
      <c r="L39" s="29" t="s">
        <v>15</v>
      </c>
    </row>
    <row r="40" spans="1:14" x14ac:dyDescent="0.25">
      <c r="B40" s="3" t="s">
        <v>22</v>
      </c>
      <c r="D40" s="7" t="s">
        <v>21</v>
      </c>
      <c r="E40" s="43">
        <v>1.7999999999999999E-2</v>
      </c>
      <c r="F40" s="17"/>
      <c r="G40" s="34">
        <v>50</v>
      </c>
      <c r="H40" s="10">
        <f>G40*E40</f>
        <v>0.89999999999999991</v>
      </c>
      <c r="I40" s="35">
        <v>150</v>
      </c>
      <c r="J40" s="12">
        <f>I40*E40</f>
        <v>2.6999999999999997</v>
      </c>
      <c r="K40" s="36">
        <v>2000</v>
      </c>
      <c r="L40" s="14">
        <f t="shared" ref="L40:L46" si="4">K40*E40*12</f>
        <v>432</v>
      </c>
      <c r="N40" t="s">
        <v>54</v>
      </c>
    </row>
    <row r="41" spans="1:14" x14ac:dyDescent="0.25">
      <c r="B41" s="3" t="s">
        <v>26</v>
      </c>
      <c r="D41" s="7" t="s">
        <v>25</v>
      </c>
      <c r="E41" s="44">
        <v>0.45</v>
      </c>
      <c r="F41" s="17"/>
      <c r="G41" s="37">
        <v>6</v>
      </c>
      <c r="H41" s="10">
        <f t="shared" ref="H41:H46" si="5">G41*E41</f>
        <v>2.7</v>
      </c>
      <c r="I41" s="39">
        <v>18</v>
      </c>
      <c r="J41" s="12">
        <f t="shared" ref="J41:J46" si="6">I41*E41</f>
        <v>8.1</v>
      </c>
      <c r="K41" s="38">
        <v>20</v>
      </c>
      <c r="L41" s="14">
        <f t="shared" si="4"/>
        <v>108</v>
      </c>
      <c r="N41" t="s">
        <v>55</v>
      </c>
    </row>
    <row r="42" spans="1:14" x14ac:dyDescent="0.25">
      <c r="B42" s="3" t="s">
        <v>26</v>
      </c>
      <c r="D42" s="7" t="s">
        <v>25</v>
      </c>
      <c r="E42" s="44">
        <v>0.45</v>
      </c>
      <c r="F42" s="17"/>
      <c r="G42" s="37">
        <v>3</v>
      </c>
      <c r="H42" s="10">
        <f t="shared" si="5"/>
        <v>1.35</v>
      </c>
      <c r="I42" s="39">
        <v>9</v>
      </c>
      <c r="J42" s="12">
        <f t="shared" si="6"/>
        <v>4.05</v>
      </c>
      <c r="K42" s="38">
        <v>10</v>
      </c>
      <c r="L42" s="14">
        <f t="shared" si="4"/>
        <v>54</v>
      </c>
      <c r="N42" t="s">
        <v>56</v>
      </c>
    </row>
    <row r="43" spans="1:14" x14ac:dyDescent="0.25">
      <c r="B43" s="3" t="s">
        <v>26</v>
      </c>
      <c r="D43" s="7" t="s">
        <v>25</v>
      </c>
      <c r="E43" s="44">
        <v>0.45</v>
      </c>
      <c r="F43" s="17"/>
      <c r="G43" s="37">
        <v>2</v>
      </c>
      <c r="H43" s="10">
        <f t="shared" si="5"/>
        <v>0.9</v>
      </c>
      <c r="I43" s="39">
        <v>5</v>
      </c>
      <c r="J43" s="12">
        <f t="shared" si="6"/>
        <v>2.25</v>
      </c>
      <c r="K43" s="38">
        <v>6</v>
      </c>
      <c r="L43" s="14">
        <f t="shared" si="4"/>
        <v>32.400000000000006</v>
      </c>
      <c r="N43" t="s">
        <v>57</v>
      </c>
    </row>
    <row r="44" spans="1:14" x14ac:dyDescent="0.25">
      <c r="B44" s="3" t="s">
        <v>24</v>
      </c>
      <c r="D44" s="7" t="s">
        <v>23</v>
      </c>
      <c r="E44" s="46">
        <v>0.25</v>
      </c>
      <c r="F44" s="17"/>
      <c r="G44" s="37">
        <v>20</v>
      </c>
      <c r="H44" s="10">
        <f t="shared" si="5"/>
        <v>5</v>
      </c>
      <c r="I44" s="39">
        <v>730</v>
      </c>
      <c r="J44" s="12">
        <f t="shared" si="6"/>
        <v>182.5</v>
      </c>
      <c r="K44" s="38">
        <v>730</v>
      </c>
      <c r="L44" s="14">
        <f t="shared" si="4"/>
        <v>2190</v>
      </c>
      <c r="N44" t="s">
        <v>58</v>
      </c>
    </row>
    <row r="45" spans="1:14" x14ac:dyDescent="0.25">
      <c r="B45" s="3" t="s">
        <v>26</v>
      </c>
      <c r="D45" s="7" t="s">
        <v>25</v>
      </c>
      <c r="E45" s="44">
        <v>0.45</v>
      </c>
      <c r="F45" s="17"/>
      <c r="G45" s="37">
        <v>6</v>
      </c>
      <c r="H45" s="10">
        <f t="shared" si="5"/>
        <v>2.7</v>
      </c>
      <c r="I45" s="39">
        <v>18</v>
      </c>
      <c r="J45" s="12">
        <f t="shared" si="6"/>
        <v>8.1</v>
      </c>
      <c r="K45" s="38">
        <v>20</v>
      </c>
      <c r="L45" s="14">
        <f t="shared" si="4"/>
        <v>108</v>
      </c>
      <c r="N45" t="s">
        <v>59</v>
      </c>
    </row>
    <row r="46" spans="1:14" x14ac:dyDescent="0.25">
      <c r="B46" s="3" t="s">
        <v>61</v>
      </c>
      <c r="D46" s="7" t="s">
        <v>27</v>
      </c>
      <c r="E46" s="45">
        <v>1.2E-5</v>
      </c>
      <c r="F46" s="17"/>
      <c r="G46" s="40">
        <v>10000</v>
      </c>
      <c r="H46" s="10">
        <f t="shared" si="5"/>
        <v>0.12000000000000001</v>
      </c>
      <c r="I46" s="41">
        <v>900000</v>
      </c>
      <c r="J46" s="12">
        <f t="shared" si="6"/>
        <v>10.8</v>
      </c>
      <c r="K46" s="42">
        <v>1000000</v>
      </c>
      <c r="L46" s="14">
        <f t="shared" si="4"/>
        <v>144</v>
      </c>
      <c r="N46" t="s">
        <v>60</v>
      </c>
    </row>
    <row r="47" spans="1:14" ht="15.75" thickBot="1" x14ac:dyDescent="0.3">
      <c r="A47" s="2"/>
    </row>
    <row r="48" spans="1:14" x14ac:dyDescent="0.25">
      <c r="A48" s="2"/>
      <c r="D48" s="146" t="s">
        <v>62</v>
      </c>
      <c r="E48" s="143" t="s">
        <v>91</v>
      </c>
      <c r="F48" s="143"/>
      <c r="G48" s="143" t="s">
        <v>90</v>
      </c>
      <c r="H48" s="144" t="s">
        <v>1</v>
      </c>
      <c r="I48" s="144" t="s">
        <v>2</v>
      </c>
      <c r="J48" s="144" t="s">
        <v>3</v>
      </c>
      <c r="K48" s="144" t="s">
        <v>4</v>
      </c>
      <c r="L48" s="144" t="s">
        <v>85</v>
      </c>
      <c r="M48" s="144" t="s">
        <v>86</v>
      </c>
      <c r="N48" s="145" t="s">
        <v>87</v>
      </c>
    </row>
    <row r="49" spans="2:14" x14ac:dyDescent="0.25">
      <c r="B49" s="3" t="s">
        <v>88</v>
      </c>
      <c r="D49" s="78" t="s">
        <v>7</v>
      </c>
      <c r="E49" s="79">
        <v>3</v>
      </c>
      <c r="G49" s="1" t="str">
        <f>SUM(G27:G33) &amp; "j"</f>
        <v>14j</v>
      </c>
      <c r="H49" s="138">
        <f>(G27/($E49*5))*100</f>
        <v>26.666666666666668</v>
      </c>
      <c r="I49" s="138">
        <f>(G28/($E49*5))*100</f>
        <v>6.666666666666667</v>
      </c>
      <c r="J49" s="138">
        <f>(G29/($E49*5))*100</f>
        <v>6.666666666666667</v>
      </c>
      <c r="K49" s="138">
        <f>(G30/($E49*5))*100</f>
        <v>53.333333333333336</v>
      </c>
      <c r="L49" s="138">
        <f>(G31/($E49*5))*100</f>
        <v>0</v>
      </c>
      <c r="M49" s="138">
        <f>(G32/($E49*5))*100</f>
        <v>0</v>
      </c>
      <c r="N49" s="141">
        <f>(G33/($E49*5))*100</f>
        <v>0</v>
      </c>
    </row>
    <row r="50" spans="2:14" x14ac:dyDescent="0.25">
      <c r="B50" s="3" t="s">
        <v>92</v>
      </c>
      <c r="D50" s="78" t="s">
        <v>8</v>
      </c>
      <c r="E50" s="79">
        <v>5</v>
      </c>
      <c r="G50" s="1" t="str">
        <f>SUM(I27:I33) &amp; "j"</f>
        <v>38j</v>
      </c>
      <c r="H50" s="138">
        <f>(I27/($E50*5))*100</f>
        <v>20</v>
      </c>
      <c r="I50" s="138">
        <f>(I28/($E50*5))*100</f>
        <v>20</v>
      </c>
      <c r="J50" s="138">
        <f>(I29/($E50*5))*100</f>
        <v>12</v>
      </c>
      <c r="K50" s="138">
        <f>(I30/($E50*5))*100</f>
        <v>8</v>
      </c>
      <c r="L50" s="138">
        <f>(I32/($E50*5))*100</f>
        <v>24</v>
      </c>
      <c r="M50" s="138">
        <f>(I32/($E50*5))*100</f>
        <v>24</v>
      </c>
      <c r="N50" s="141">
        <f>(I33/($E50*5))*100</f>
        <v>8</v>
      </c>
    </row>
    <row r="51" spans="2:14" ht="15.75" thickBot="1" x14ac:dyDescent="0.3">
      <c r="B51" s="3" t="s">
        <v>89</v>
      </c>
      <c r="D51" s="81" t="s">
        <v>9</v>
      </c>
      <c r="E51" s="83">
        <v>3</v>
      </c>
      <c r="G51" s="83" t="str">
        <f>SUM(K27:K33) &amp; "j"</f>
        <v>19j</v>
      </c>
      <c r="H51" s="139">
        <f>(K27/($E51*5))*100</f>
        <v>13.333333333333334</v>
      </c>
      <c r="I51" s="139">
        <f>(K28/($E51*5))*100</f>
        <v>60</v>
      </c>
      <c r="J51" s="139">
        <f>(K29/($E51*5))*100</f>
        <v>26.666666666666668</v>
      </c>
      <c r="K51" s="139">
        <f>(K30/($E51*5))*100</f>
        <v>26.666666666666668</v>
      </c>
      <c r="L51" s="139">
        <f>(K33/($E51*5))*100</f>
        <v>0</v>
      </c>
      <c r="M51" s="139">
        <f>(K32/($E51*5))*100</f>
        <v>0</v>
      </c>
      <c r="N51" s="142">
        <f>(K33/($E51*5))*100</f>
        <v>0</v>
      </c>
    </row>
    <row r="52" spans="2:14" x14ac:dyDescent="0.25">
      <c r="D52" s="74"/>
      <c r="E52" s="76"/>
      <c r="F52" s="76"/>
      <c r="G52" s="79"/>
      <c r="H52" s="138"/>
      <c r="I52" s="138"/>
      <c r="J52" s="138"/>
      <c r="K52" s="138"/>
      <c r="L52" s="138"/>
      <c r="M52" s="138"/>
      <c r="N52" s="138"/>
    </row>
    <row r="53" spans="2:14" ht="15.75" thickBot="1" x14ac:dyDescent="0.3">
      <c r="E53" s="82"/>
      <c r="F53" s="83"/>
    </row>
    <row r="54" spans="2:14" x14ac:dyDescent="0.25">
      <c r="D54" s="75" t="s">
        <v>17</v>
      </c>
      <c r="E54" s="76"/>
      <c r="F54" s="76"/>
      <c r="G54" s="84">
        <f>SUM(H27:H33) + SUM(J27:J33) + SUM(H40:H46) + SUM(J40:J46)</f>
        <v>19092.169999999998</v>
      </c>
      <c r="H54" s="85" t="s">
        <v>16</v>
      </c>
    </row>
    <row r="55" spans="2:14" ht="15.75" thickBot="1" x14ac:dyDescent="0.3">
      <c r="D55" s="81" t="s">
        <v>18</v>
      </c>
      <c r="E55" s="83"/>
      <c r="F55" s="83"/>
      <c r="G55" s="86">
        <f>SUM(L27:L33) + SUM(L40:L46)</f>
        <v>10048.4</v>
      </c>
      <c r="H55" s="64" t="s">
        <v>6</v>
      </c>
    </row>
    <row r="56" spans="2:14" ht="15.75" thickBot="1" x14ac:dyDescent="0.3"/>
    <row r="57" spans="2:14" x14ac:dyDescent="0.25">
      <c r="D57" s="87" t="s">
        <v>40</v>
      </c>
      <c r="E57" s="77"/>
      <c r="F57" s="77"/>
      <c r="G57" s="77"/>
      <c r="H57" s="88" t="s">
        <v>6</v>
      </c>
      <c r="I57" s="89"/>
      <c r="J57" s="5"/>
    </row>
    <row r="58" spans="2:14" x14ac:dyDescent="0.25">
      <c r="D58" s="78" t="s">
        <v>19</v>
      </c>
      <c r="E58" s="79"/>
      <c r="F58" s="79"/>
      <c r="G58" s="79"/>
      <c r="H58" s="92">
        <v>400000</v>
      </c>
      <c r="I58" s="91" t="s">
        <v>33</v>
      </c>
    </row>
    <row r="59" spans="2:14" x14ac:dyDescent="0.25">
      <c r="D59" s="78" t="s">
        <v>20</v>
      </c>
      <c r="E59" s="79"/>
      <c r="F59" s="79"/>
      <c r="G59" s="79"/>
      <c r="H59" s="92">
        <v>40000</v>
      </c>
      <c r="I59" s="91" t="s">
        <v>33</v>
      </c>
    </row>
    <row r="60" spans="2:14" x14ac:dyDescent="0.25">
      <c r="D60" s="78" t="s">
        <v>29</v>
      </c>
      <c r="E60" s="79"/>
      <c r="F60" s="79"/>
      <c r="G60" s="79"/>
      <c r="H60" s="92">
        <v>5200000</v>
      </c>
      <c r="I60" s="91" t="s">
        <v>34</v>
      </c>
    </row>
    <row r="61" spans="2:14" x14ac:dyDescent="0.25">
      <c r="D61" s="78" t="s">
        <v>30</v>
      </c>
      <c r="E61" s="79"/>
      <c r="F61" s="79"/>
      <c r="G61" s="79"/>
      <c r="H61" s="92">
        <v>472000</v>
      </c>
      <c r="I61" s="91" t="s">
        <v>34</v>
      </c>
    </row>
    <row r="62" spans="2:14" x14ac:dyDescent="0.25">
      <c r="D62" s="78" t="s">
        <v>31</v>
      </c>
      <c r="E62" s="79"/>
      <c r="F62" s="79"/>
      <c r="G62" s="79"/>
      <c r="H62" s="92">
        <v>5200000</v>
      </c>
      <c r="I62" s="91" t="s">
        <v>34</v>
      </c>
    </row>
    <row r="63" spans="2:14" ht="15.75" thickBot="1" x14ac:dyDescent="0.3">
      <c r="D63" s="81" t="s">
        <v>32</v>
      </c>
      <c r="E63" s="83"/>
      <c r="F63" s="83"/>
      <c r="G63" s="83"/>
      <c r="H63" s="93">
        <v>10400000</v>
      </c>
      <c r="I63" s="64" t="s">
        <v>34</v>
      </c>
    </row>
    <row r="64" spans="2:14" ht="15.75" thickBot="1" x14ac:dyDescent="0.3">
      <c r="K64" s="3"/>
    </row>
    <row r="65" spans="4:15" x14ac:dyDescent="0.25">
      <c r="D65" s="75" t="s">
        <v>110</v>
      </c>
      <c r="E65" s="76" t="s">
        <v>111</v>
      </c>
      <c r="F65" s="76"/>
      <c r="G65" s="153">
        <v>0.14000000000000001</v>
      </c>
      <c r="H65" s="134">
        <f>H60*G65</f>
        <v>728000.00000000012</v>
      </c>
      <c r="I65" s="85" t="s">
        <v>34</v>
      </c>
    </row>
    <row r="66" spans="4:15" ht="15.75" thickBot="1" x14ac:dyDescent="0.3">
      <c r="D66" s="81" t="s">
        <v>109</v>
      </c>
      <c r="E66" s="83" t="s">
        <v>111</v>
      </c>
      <c r="F66" s="83"/>
      <c r="G66" s="154">
        <v>0.04</v>
      </c>
      <c r="H66" s="93">
        <f>H62*G66</f>
        <v>208000</v>
      </c>
      <c r="I66" s="64" t="s">
        <v>34</v>
      </c>
    </row>
    <row r="67" spans="4:15" ht="15.75" thickBot="1" x14ac:dyDescent="0.3">
      <c r="D67" s="155" t="s">
        <v>108</v>
      </c>
      <c r="E67" s="140" t="s">
        <v>111</v>
      </c>
      <c r="F67" s="140"/>
      <c r="G67" s="156">
        <f>(H60+O85)/O85</f>
        <v>11.050515068576756</v>
      </c>
      <c r="H67" s="157">
        <f>H62*G67</f>
        <v>57462678.35659913</v>
      </c>
      <c r="I67" s="63" t="s">
        <v>34</v>
      </c>
    </row>
    <row r="68" spans="4:15" ht="15.75" thickBot="1" x14ac:dyDescent="0.3">
      <c r="D68" s="155" t="s">
        <v>113</v>
      </c>
      <c r="E68" s="140" t="s">
        <v>111</v>
      </c>
      <c r="F68" s="140"/>
      <c r="G68" s="159">
        <f>(N76/(H60*2))*100</f>
        <v>0.37681701923076921</v>
      </c>
      <c r="H68" s="157">
        <f>(G68*H60*2)/100</f>
        <v>39188.97</v>
      </c>
      <c r="I68" s="63" t="s">
        <v>34</v>
      </c>
    </row>
    <row r="70" spans="4:15" ht="15.75" thickBot="1" x14ac:dyDescent="0.3"/>
    <row r="71" spans="4:15" x14ac:dyDescent="0.25">
      <c r="G71" s="94"/>
      <c r="H71" s="76"/>
      <c r="I71" s="76"/>
      <c r="J71" s="95" t="s">
        <v>43</v>
      </c>
      <c r="K71" s="96">
        <f>K72/12</f>
        <v>433333.33333333331</v>
      </c>
      <c r="L71" s="77"/>
      <c r="M71" s="77" t="s">
        <v>42</v>
      </c>
      <c r="N71" s="77" t="s">
        <v>42</v>
      </c>
      <c r="O71" s="97"/>
    </row>
    <row r="72" spans="4:15" x14ac:dyDescent="0.25">
      <c r="G72" s="98"/>
      <c r="H72" s="79"/>
      <c r="I72" s="79"/>
      <c r="J72" s="99" t="s">
        <v>46</v>
      </c>
      <c r="K72" s="100">
        <f>H60</f>
        <v>5200000</v>
      </c>
      <c r="L72" s="101"/>
      <c r="M72" s="101" t="s">
        <v>41</v>
      </c>
      <c r="N72" s="101" t="s">
        <v>49</v>
      </c>
      <c r="O72" s="80"/>
    </row>
    <row r="73" spans="4:15" x14ac:dyDescent="0.25">
      <c r="G73" s="98"/>
      <c r="H73" s="79"/>
      <c r="I73" s="79"/>
      <c r="J73" s="99" t="s">
        <v>44</v>
      </c>
      <c r="K73" s="102">
        <v>0.14000000000000001</v>
      </c>
      <c r="L73" s="103"/>
      <c r="M73" s="104">
        <f>$G$55/12</f>
        <v>837.36666666666667</v>
      </c>
      <c r="N73" s="104">
        <f>G54</f>
        <v>19092.169999999998</v>
      </c>
      <c r="O73" s="80"/>
    </row>
    <row r="74" spans="4:15" x14ac:dyDescent="0.25">
      <c r="G74" s="98"/>
      <c r="H74" s="79"/>
      <c r="I74" s="79"/>
      <c r="J74" s="99" t="s">
        <v>45</v>
      </c>
      <c r="K74" s="102">
        <v>0.03</v>
      </c>
      <c r="L74" s="103"/>
      <c r="M74" s="79">
        <v>0</v>
      </c>
      <c r="N74" s="79">
        <v>0</v>
      </c>
      <c r="O74" s="80"/>
    </row>
    <row r="75" spans="4:15" x14ac:dyDescent="0.25">
      <c r="G75" s="98"/>
      <c r="H75" s="79"/>
      <c r="I75" s="79"/>
      <c r="J75" s="99" t="s">
        <v>37</v>
      </c>
      <c r="K75" s="90">
        <v>6</v>
      </c>
      <c r="L75" s="79"/>
      <c r="M75" s="74"/>
      <c r="N75" s="74"/>
      <c r="O75" s="80"/>
    </row>
    <row r="76" spans="4:15" ht="15.75" thickBot="1" x14ac:dyDescent="0.3">
      <c r="G76" s="105"/>
      <c r="H76" s="83"/>
      <c r="I76" s="83"/>
      <c r="J76" s="106" t="s">
        <v>36</v>
      </c>
      <c r="K76" s="107">
        <v>24</v>
      </c>
      <c r="L76" s="83"/>
      <c r="M76" s="106" t="s">
        <v>112</v>
      </c>
      <c r="N76" s="158">
        <f>N73+M73*24</f>
        <v>39188.97</v>
      </c>
      <c r="O76" s="62"/>
    </row>
    <row r="77" spans="4:15" ht="15.75" thickBot="1" x14ac:dyDescent="0.3"/>
    <row r="78" spans="4:15" ht="39" x14ac:dyDescent="0.25">
      <c r="G78" s="108" t="s">
        <v>39</v>
      </c>
      <c r="H78" s="109" t="s">
        <v>38</v>
      </c>
      <c r="I78" s="109" t="s">
        <v>35</v>
      </c>
      <c r="J78" s="110" t="s">
        <v>50</v>
      </c>
      <c r="K78" s="110" t="s">
        <v>51</v>
      </c>
      <c r="L78" s="111" t="s">
        <v>52</v>
      </c>
      <c r="M78" s="112" t="s">
        <v>53</v>
      </c>
      <c r="N78" s="110" t="s">
        <v>47</v>
      </c>
      <c r="O78" s="113" t="s">
        <v>48</v>
      </c>
    </row>
    <row r="79" spans="4:15" x14ac:dyDescent="0.25">
      <c r="G79" s="114">
        <v>0</v>
      </c>
      <c r="H79" s="30">
        <v>0</v>
      </c>
      <c r="I79" s="15">
        <v>0</v>
      </c>
      <c r="J79" s="31">
        <v>0</v>
      </c>
      <c r="K79" s="31">
        <f t="shared" ref="K79:K85" si="7">$K$73*(I79/24)^1.5</f>
        <v>0</v>
      </c>
      <c r="L79" s="48">
        <v>0</v>
      </c>
      <c r="M79" s="47">
        <v>0</v>
      </c>
      <c r="N79" s="32">
        <f>$N$73</f>
        <v>19092.169999999998</v>
      </c>
      <c r="O79" s="115">
        <f t="shared" ref="O79:O85" si="8">(M79-L79)-N79</f>
        <v>-19092.169999999998</v>
      </c>
    </row>
    <row r="80" spans="4:15" x14ac:dyDescent="0.25">
      <c r="G80" s="114">
        <f t="shared" ref="G80:G85" si="9">ROW(H80)-ROW($H$78)-1</f>
        <v>1</v>
      </c>
      <c r="H80" s="30">
        <f t="shared" ref="H80:H85" si="10">(100/$K$75)*G80</f>
        <v>16.666666666666668</v>
      </c>
      <c r="I80" s="15">
        <f t="shared" ref="I80:I85" si="11">($K$76/$K$75)*G80</f>
        <v>4</v>
      </c>
      <c r="J80" s="31">
        <f>$K$74*(I80/24)^1.5</f>
        <v>2.0412414523193144E-3</v>
      </c>
      <c r="K80" s="31">
        <f t="shared" si="7"/>
        <v>9.5257934441568028E-3</v>
      </c>
      <c r="L80" s="48">
        <f>((I80-I79)*(J80*$K$71))+L79</f>
        <v>3538.1518506868115</v>
      </c>
      <c r="M80" s="47">
        <f t="shared" ref="M80:M85" si="12">((I80-I79)*(K80*$K$71))+M79</f>
        <v>16511.375303205125</v>
      </c>
      <c r="N80" s="32">
        <f t="shared" ref="N80:N85" si="13">($M$73*(I80-I79))+N79</f>
        <v>22441.636666666665</v>
      </c>
      <c r="O80" s="115">
        <f t="shared" si="8"/>
        <v>-9468.4132141483533</v>
      </c>
    </row>
    <row r="81" spans="2:15" x14ac:dyDescent="0.25">
      <c r="G81" s="114">
        <f t="shared" si="9"/>
        <v>2</v>
      </c>
      <c r="H81" s="30">
        <f t="shared" si="10"/>
        <v>33.333333333333336</v>
      </c>
      <c r="I81" s="15">
        <f t="shared" si="11"/>
        <v>8</v>
      </c>
      <c r="J81" s="31">
        <f t="shared" ref="J81:J85" si="14">$K$74*(I81/24)^1.5</f>
        <v>5.773502691896258E-3</v>
      </c>
      <c r="K81" s="31">
        <f t="shared" si="7"/>
        <v>2.6943012562182539E-2</v>
      </c>
      <c r="L81" s="48">
        <f t="shared" ref="L81:L85" si="15">((I81-I80)*(J81*$K$71))+L80</f>
        <v>13545.556516640325</v>
      </c>
      <c r="M81" s="47">
        <f t="shared" si="12"/>
        <v>63212.597077654857</v>
      </c>
      <c r="N81" s="32">
        <f>($M$73*(I81-I80))+N80</f>
        <v>25791.103333333333</v>
      </c>
      <c r="O81" s="115">
        <f t="shared" si="8"/>
        <v>23875.937227681199</v>
      </c>
    </row>
    <row r="82" spans="2:15" x14ac:dyDescent="0.25">
      <c r="G82" s="114">
        <f t="shared" si="9"/>
        <v>3</v>
      </c>
      <c r="H82" s="30">
        <f t="shared" si="10"/>
        <v>50</v>
      </c>
      <c r="I82" s="15">
        <f t="shared" si="11"/>
        <v>12</v>
      </c>
      <c r="J82" s="31">
        <f t="shared" si="14"/>
        <v>1.0606601717798213E-2</v>
      </c>
      <c r="K82" s="31">
        <f t="shared" si="7"/>
        <v>4.9497474683058332E-2</v>
      </c>
      <c r="L82" s="48">
        <f t="shared" si="15"/>
        <v>31930.332827490562</v>
      </c>
      <c r="M82" s="47">
        <f t="shared" si="12"/>
        <v>149008.21986162264</v>
      </c>
      <c r="N82" s="32">
        <f t="shared" si="13"/>
        <v>29140.57</v>
      </c>
      <c r="O82" s="115">
        <f t="shared" si="8"/>
        <v>87937.31703413208</v>
      </c>
    </row>
    <row r="83" spans="2:15" x14ac:dyDescent="0.25">
      <c r="G83" s="114">
        <f t="shared" si="9"/>
        <v>4</v>
      </c>
      <c r="H83" s="30">
        <f t="shared" si="10"/>
        <v>66.666666666666671</v>
      </c>
      <c r="I83" s="15">
        <f t="shared" si="11"/>
        <v>16</v>
      </c>
      <c r="J83" s="31">
        <f t="shared" si="14"/>
        <v>1.6329931618554516E-2</v>
      </c>
      <c r="K83" s="31">
        <f t="shared" si="7"/>
        <v>7.6206347553254422E-2</v>
      </c>
      <c r="L83" s="48">
        <f t="shared" si="15"/>
        <v>60235.54763298505</v>
      </c>
      <c r="M83" s="47">
        <f t="shared" si="12"/>
        <v>281099.2222872636</v>
      </c>
      <c r="N83" s="32">
        <f t="shared" si="13"/>
        <v>32490.036666666667</v>
      </c>
      <c r="O83" s="115">
        <f t="shared" si="8"/>
        <v>188373.63798761187</v>
      </c>
    </row>
    <row r="84" spans="2:15" x14ac:dyDescent="0.25">
      <c r="G84" s="114">
        <f t="shared" si="9"/>
        <v>5</v>
      </c>
      <c r="H84" s="30">
        <f t="shared" si="10"/>
        <v>83.333333333333343</v>
      </c>
      <c r="I84" s="15">
        <f t="shared" si="11"/>
        <v>20</v>
      </c>
      <c r="J84" s="31">
        <f t="shared" si="14"/>
        <v>2.282177322938192E-2</v>
      </c>
      <c r="K84" s="31">
        <f t="shared" si="7"/>
        <v>0.10650160840378231</v>
      </c>
      <c r="L84" s="48">
        <f t="shared" si="15"/>
        <v>99793.287897247035</v>
      </c>
      <c r="M84" s="47">
        <f t="shared" si="12"/>
        <v>465702.01018715295</v>
      </c>
      <c r="N84" s="32">
        <f t="shared" si="13"/>
        <v>35839.503333333334</v>
      </c>
      <c r="O84" s="115">
        <f t="shared" si="8"/>
        <v>330069.21895657253</v>
      </c>
    </row>
    <row r="85" spans="2:15" ht="15.75" thickBot="1" x14ac:dyDescent="0.3">
      <c r="G85" s="116">
        <f t="shared" si="9"/>
        <v>6</v>
      </c>
      <c r="H85" s="117">
        <f t="shared" si="10"/>
        <v>100</v>
      </c>
      <c r="I85" s="118">
        <f t="shared" si="11"/>
        <v>24</v>
      </c>
      <c r="J85" s="119">
        <f t="shared" si="14"/>
        <v>0.03</v>
      </c>
      <c r="K85" s="119">
        <f t="shared" si="7"/>
        <v>0.14000000000000001</v>
      </c>
      <c r="L85" s="120">
        <f t="shared" si="15"/>
        <v>151793.28789724704</v>
      </c>
      <c r="M85" s="121">
        <f t="shared" si="12"/>
        <v>708368.67685381963</v>
      </c>
      <c r="N85" s="122">
        <f t="shared" si="13"/>
        <v>39188.97</v>
      </c>
      <c r="O85" s="123">
        <f t="shared" si="8"/>
        <v>517386.41895657266</v>
      </c>
    </row>
    <row r="88" spans="2:15" ht="15.75" thickBot="1" x14ac:dyDescent="0.3"/>
    <row r="89" spans="2:15" ht="15.75" x14ac:dyDescent="0.25">
      <c r="B89" s="124" t="s">
        <v>54</v>
      </c>
      <c r="C89" s="125"/>
      <c r="D89" s="126" t="s">
        <v>22</v>
      </c>
      <c r="E89" s="76"/>
      <c r="F89" s="76"/>
      <c r="G89" s="76"/>
      <c r="H89" s="125" t="s">
        <v>21</v>
      </c>
      <c r="I89" s="85"/>
    </row>
    <row r="90" spans="2:15" ht="15.75" x14ac:dyDescent="0.25">
      <c r="B90" s="127" t="s">
        <v>55</v>
      </c>
      <c r="C90" s="74"/>
      <c r="D90" s="128" t="s">
        <v>26</v>
      </c>
      <c r="E90" s="129"/>
      <c r="F90" s="79"/>
      <c r="G90" s="79"/>
      <c r="H90" s="74" t="s">
        <v>25</v>
      </c>
      <c r="I90" s="91"/>
    </row>
    <row r="91" spans="2:15" ht="15.75" x14ac:dyDescent="0.25">
      <c r="B91" s="78" t="s">
        <v>56</v>
      </c>
      <c r="C91" s="74"/>
      <c r="D91" s="130" t="s">
        <v>26</v>
      </c>
      <c r="E91" s="79"/>
      <c r="F91" s="79"/>
      <c r="G91" s="79"/>
      <c r="H91" s="74" t="s">
        <v>25</v>
      </c>
      <c r="I91" s="91"/>
    </row>
    <row r="92" spans="2:15" ht="15.75" x14ac:dyDescent="0.25">
      <c r="B92" s="127" t="s">
        <v>57</v>
      </c>
      <c r="C92" s="74"/>
      <c r="D92" s="128" t="s">
        <v>26</v>
      </c>
      <c r="E92" s="129"/>
      <c r="F92" s="79"/>
      <c r="G92" s="79"/>
      <c r="H92" s="74" t="s">
        <v>25</v>
      </c>
      <c r="I92" s="91"/>
    </row>
    <row r="93" spans="2:15" ht="15.75" x14ac:dyDescent="0.25">
      <c r="B93" s="131" t="s">
        <v>58</v>
      </c>
      <c r="C93" s="74"/>
      <c r="D93" s="128" t="s">
        <v>24</v>
      </c>
      <c r="E93" s="79"/>
      <c r="F93" s="79"/>
      <c r="G93" s="79"/>
      <c r="H93" s="74" t="s">
        <v>23</v>
      </c>
      <c r="I93" s="91"/>
    </row>
    <row r="94" spans="2:15" ht="15.75" x14ac:dyDescent="0.25">
      <c r="B94" s="127" t="s">
        <v>59</v>
      </c>
      <c r="C94" s="74"/>
      <c r="D94" s="128" t="s">
        <v>26</v>
      </c>
      <c r="E94" s="79"/>
      <c r="F94" s="79"/>
      <c r="G94" s="79"/>
      <c r="H94" s="74" t="s">
        <v>25</v>
      </c>
      <c r="I94" s="91"/>
    </row>
    <row r="95" spans="2:15" ht="16.5" thickBot="1" x14ac:dyDescent="0.3">
      <c r="B95" s="132" t="s">
        <v>60</v>
      </c>
      <c r="C95" s="82"/>
      <c r="D95" s="133" t="s">
        <v>61</v>
      </c>
      <c r="E95" s="83"/>
      <c r="F95" s="83"/>
      <c r="G95" s="83"/>
      <c r="H95" s="82" t="s">
        <v>27</v>
      </c>
      <c r="I95" s="64"/>
    </row>
    <row r="96" spans="2:15" ht="15.75" x14ac:dyDescent="0.25">
      <c r="B96" s="33"/>
      <c r="C96" s="2"/>
      <c r="D96" s="2"/>
    </row>
    <row r="97" spans="2:4" x14ac:dyDescent="0.25">
      <c r="B97" s="2"/>
      <c r="C97" s="2"/>
      <c r="D97" s="2"/>
    </row>
    <row r="98" spans="2:4" x14ac:dyDescent="0.25">
      <c r="B98" s="2"/>
      <c r="C98" s="2"/>
      <c r="D98" s="2"/>
    </row>
    <row r="99" spans="2:4" x14ac:dyDescent="0.25">
      <c r="B99" s="2"/>
      <c r="C99" s="2"/>
      <c r="D99" s="2"/>
    </row>
  </sheetData>
  <mergeCells count="13">
    <mergeCell ref="G23:H23"/>
    <mergeCell ref="G24:H24"/>
    <mergeCell ref="I23:J23"/>
    <mergeCell ref="I24:J24"/>
    <mergeCell ref="K23:L23"/>
    <mergeCell ref="K24:L24"/>
    <mergeCell ref="H57:I57"/>
    <mergeCell ref="G36:H36"/>
    <mergeCell ref="I36:J36"/>
    <mergeCell ref="K36:L36"/>
    <mergeCell ref="G37:H37"/>
    <mergeCell ref="I37:J37"/>
    <mergeCell ref="K37:L37"/>
  </mergeCells>
  <pageMargins left="0.7" right="0.7" top="0.75" bottom="0.75" header="0.3" footer="0.3"/>
  <pageSetup paperSize="9" orientation="portrait" horizontalDpi="4294967293" verticalDpi="0" r:id="rId1"/>
  <ignoredErrors>
    <ignoredError sqref="K28:K30 G28:G29 G31:G33 I28:I29 K32:K33" formulaRange="1"/>
    <ignoredError sqref="N10 H66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03833-3A5E-461C-AFD0-2ACB4E7497F1}">
  <dimension ref="O3:Y19"/>
  <sheetViews>
    <sheetView showGridLines="0" workbookViewId="0">
      <selection activeCell="AC3" sqref="AC3"/>
    </sheetView>
  </sheetViews>
  <sheetFormatPr baseColWidth="10" defaultColWidth="5.7109375" defaultRowHeight="30" customHeight="1" x14ac:dyDescent="0.25"/>
  <cols>
    <col min="16" max="16" width="1.5703125" customWidth="1"/>
    <col min="24" max="24" width="1.28515625" customWidth="1"/>
    <col min="25" max="25" width="16" style="1" customWidth="1"/>
  </cols>
  <sheetData>
    <row r="3" spans="15:25" ht="138" customHeight="1" x14ac:dyDescent="0.25">
      <c r="Q3" s="72" t="s">
        <v>4</v>
      </c>
      <c r="R3" s="72" t="s">
        <v>1</v>
      </c>
      <c r="S3" s="72" t="s">
        <v>3</v>
      </c>
      <c r="T3" s="72" t="s">
        <v>2</v>
      </c>
      <c r="U3" s="73" t="s">
        <v>81</v>
      </c>
      <c r="V3" s="73" t="s">
        <v>82</v>
      </c>
      <c r="W3" s="73" t="s">
        <v>77</v>
      </c>
    </row>
    <row r="4" spans="15:25" ht="10.5" customHeight="1" thickBot="1" x14ac:dyDescent="0.3"/>
    <row r="5" spans="15:25" ht="30" customHeight="1" thickBot="1" x14ac:dyDescent="0.3">
      <c r="O5" s="61" t="s">
        <v>79</v>
      </c>
      <c r="Q5" s="69" t="s">
        <v>69</v>
      </c>
      <c r="R5" s="69" t="s">
        <v>69</v>
      </c>
      <c r="S5" s="70" t="s">
        <v>70</v>
      </c>
      <c r="T5" s="68" t="s">
        <v>71</v>
      </c>
      <c r="U5" s="66"/>
      <c r="V5" s="66"/>
      <c r="W5" s="66"/>
      <c r="Y5" s="135" t="s">
        <v>7</v>
      </c>
    </row>
    <row r="6" spans="15:25" ht="30" customHeight="1" thickBot="1" x14ac:dyDescent="0.3">
      <c r="O6" s="61" t="s">
        <v>68</v>
      </c>
      <c r="Q6" s="69" t="s">
        <v>69</v>
      </c>
      <c r="R6" s="65"/>
      <c r="S6" s="70" t="s">
        <v>70</v>
      </c>
      <c r="T6" s="66"/>
      <c r="U6" s="66"/>
      <c r="V6" s="66"/>
      <c r="W6" s="68" t="s">
        <v>71</v>
      </c>
      <c r="Y6" s="135"/>
    </row>
    <row r="7" spans="15:25" ht="30" customHeight="1" thickBot="1" x14ac:dyDescent="0.3">
      <c r="O7" s="61" t="s">
        <v>63</v>
      </c>
      <c r="Q7" s="67"/>
      <c r="R7" s="67"/>
      <c r="S7" s="68" t="s">
        <v>71</v>
      </c>
      <c r="T7" s="69" t="s">
        <v>69</v>
      </c>
      <c r="U7" s="69" t="s">
        <v>69</v>
      </c>
      <c r="V7" s="69" t="s">
        <v>69</v>
      </c>
      <c r="W7" s="70" t="s">
        <v>70</v>
      </c>
      <c r="Y7" s="136" t="s">
        <v>8</v>
      </c>
    </row>
    <row r="8" spans="15:25" ht="30" customHeight="1" thickBot="1" x14ac:dyDescent="0.3">
      <c r="O8" s="61" t="s">
        <v>78</v>
      </c>
      <c r="Q8" s="67"/>
      <c r="R8" s="69" t="s">
        <v>69</v>
      </c>
      <c r="S8" s="68" t="s">
        <v>71</v>
      </c>
      <c r="T8" s="69" t="s">
        <v>69</v>
      </c>
      <c r="U8" s="66"/>
      <c r="V8" s="66"/>
      <c r="W8" s="66"/>
      <c r="Y8" s="136"/>
    </row>
    <row r="9" spans="15:25" ht="30" customHeight="1" thickBot="1" x14ac:dyDescent="0.3">
      <c r="O9" s="61" t="s">
        <v>80</v>
      </c>
      <c r="Q9" s="68" t="s">
        <v>71</v>
      </c>
      <c r="R9" s="68" t="s">
        <v>71</v>
      </c>
      <c r="S9" s="71" t="s">
        <v>72</v>
      </c>
      <c r="T9" s="69" t="s">
        <v>69</v>
      </c>
      <c r="U9" s="66"/>
      <c r="V9" s="69" t="s">
        <v>69</v>
      </c>
      <c r="W9" s="70" t="s">
        <v>70</v>
      </c>
      <c r="Y9" s="136"/>
    </row>
    <row r="10" spans="15:25" ht="30" customHeight="1" thickBot="1" x14ac:dyDescent="0.3">
      <c r="O10" s="61" t="s">
        <v>64</v>
      </c>
      <c r="Q10" s="67"/>
      <c r="R10" s="67"/>
      <c r="S10" s="71" t="s">
        <v>72</v>
      </c>
      <c r="T10" s="69" t="s">
        <v>69</v>
      </c>
      <c r="U10" s="66"/>
      <c r="V10" s="66"/>
      <c r="W10" s="66"/>
      <c r="Y10" s="137" t="s">
        <v>9</v>
      </c>
    </row>
    <row r="11" spans="15:25" ht="30" customHeight="1" thickBot="1" x14ac:dyDescent="0.3">
      <c r="O11" s="61" t="s">
        <v>65</v>
      </c>
      <c r="Q11" s="67"/>
      <c r="R11" s="67"/>
      <c r="S11" s="71" t="s">
        <v>72</v>
      </c>
      <c r="T11" s="69" t="s">
        <v>69</v>
      </c>
      <c r="U11" s="66"/>
      <c r="V11" s="66"/>
      <c r="W11" s="66"/>
      <c r="Y11" s="137"/>
    </row>
    <row r="12" spans="15:25" ht="30" customHeight="1" thickBot="1" x14ac:dyDescent="0.3">
      <c r="O12" s="61" t="s">
        <v>66</v>
      </c>
      <c r="Q12" s="68" t="s">
        <v>71</v>
      </c>
      <c r="R12" s="68" t="s">
        <v>71</v>
      </c>
      <c r="S12" s="70" t="s">
        <v>70</v>
      </c>
      <c r="T12" s="69" t="s">
        <v>69</v>
      </c>
      <c r="U12" s="66"/>
      <c r="V12" s="66"/>
      <c r="W12" s="66"/>
      <c r="Y12" s="137"/>
    </row>
    <row r="13" spans="15:25" ht="30" customHeight="1" thickBot="1" x14ac:dyDescent="0.3">
      <c r="O13" s="61" t="s">
        <v>67</v>
      </c>
      <c r="Q13" s="69" t="s">
        <v>69</v>
      </c>
      <c r="R13" s="68" t="s">
        <v>71</v>
      </c>
      <c r="S13" s="68" t="s">
        <v>71</v>
      </c>
      <c r="T13" s="67"/>
      <c r="U13" s="66"/>
      <c r="V13" s="66"/>
      <c r="W13" s="66"/>
      <c r="Y13" s="137"/>
    </row>
    <row r="16" spans="15:25" ht="30" customHeight="1" x14ac:dyDescent="0.25">
      <c r="Q16" t="s">
        <v>69</v>
      </c>
      <c r="R16" t="s">
        <v>73</v>
      </c>
    </row>
    <row r="17" spans="17:18" ht="30" customHeight="1" x14ac:dyDescent="0.25">
      <c r="Q17" t="s">
        <v>70</v>
      </c>
      <c r="R17" t="s">
        <v>74</v>
      </c>
    </row>
    <row r="18" spans="17:18" ht="30" customHeight="1" x14ac:dyDescent="0.25">
      <c r="Q18" t="s">
        <v>71</v>
      </c>
      <c r="R18" t="s">
        <v>75</v>
      </c>
    </row>
    <row r="19" spans="17:18" ht="30" customHeight="1" x14ac:dyDescent="0.25">
      <c r="Q19" t="s">
        <v>72</v>
      </c>
      <c r="R19" t="s">
        <v>76</v>
      </c>
    </row>
  </sheetData>
  <mergeCells count="3">
    <mergeCell ref="Y5:Y6"/>
    <mergeCell ref="Y7:Y9"/>
    <mergeCell ref="Y10:Y13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COUTS</vt:lpstr>
      <vt:lpstr>RACI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auguey</dc:creator>
  <cp:lastModifiedBy>thomas auguey</cp:lastModifiedBy>
  <dcterms:created xsi:type="dcterms:W3CDTF">2026-10-08T09:30:48Z</dcterms:created>
  <dcterms:modified xsi:type="dcterms:W3CDTF">2026-10-13T15:50:54Z</dcterms:modified>
</cp:coreProperties>
</file>